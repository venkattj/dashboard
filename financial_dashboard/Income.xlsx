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nka\Desktop\Income\income\"/>
    </mc:Choice>
  </mc:AlternateContent>
  <xr:revisionPtr revIDLastSave="0" documentId="13_ncr:1_{C946BA04-C165-45DB-BA4D-CEC8B2337A90}" xr6:coauthVersionLast="45" xr6:coauthVersionMax="47" xr10:uidLastSave="{00000000-0000-0000-0000-000000000000}"/>
  <bookViews>
    <workbookView xWindow="28680" yWindow="-120" windowWidth="29040" windowHeight="15720" xr2:uid="{24F64CE6-207D-41FD-BEA1-6016E58FEE01}"/>
  </bookViews>
  <sheets>
    <sheet name="Bank" sheetId="1" r:id="rId1"/>
    <sheet name="Fixed Deposit" sheetId="12" r:id="rId2"/>
    <sheet name="Stocks" sheetId="3" r:id="rId3"/>
    <sheet name="Mutal Funds" sheetId="2" r:id="rId4"/>
    <sheet name="Utility Bills" sheetId="10" r:id="rId5"/>
    <sheet name="Loans" sheetId="4" r:id="rId6"/>
    <sheet name="Standard_Chits" sheetId="5" r:id="rId7"/>
    <sheet name="Variable_Chit" sheetId="6" r:id="rId8"/>
    <sheet name="Earnings" sheetId="8" r:id="rId9"/>
    <sheet name="Overall" sheetId="7" r:id="rId10"/>
    <sheet name="Spending" sheetId="9" r:id="rId11"/>
    <sheet name="Sheet1" sheetId="15" r:id="rId12"/>
    <sheet name="sneha" sheetId="13" r:id="rId1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" i="13" l="1"/>
  <c r="G38" i="12" l="1"/>
  <c r="H38" i="12" s="1"/>
  <c r="I38" i="12" l="1"/>
  <c r="C15" i="15"/>
  <c r="G39" i="12" l="1"/>
  <c r="B7" i="7"/>
  <c r="G37" i="12"/>
  <c r="H37" i="12" s="1"/>
  <c r="H39" i="12" l="1"/>
  <c r="I39" i="12"/>
  <c r="I37" i="12"/>
  <c r="C5" i="4"/>
  <c r="C7" i="4" s="1"/>
  <c r="B9" i="7" s="1"/>
  <c r="D9" i="7" s="1"/>
  <c r="G22" i="12"/>
  <c r="I22" i="12" s="1"/>
  <c r="G24" i="12"/>
  <c r="H24" i="12" s="1"/>
  <c r="G34" i="12"/>
  <c r="H34" i="12" s="1"/>
  <c r="G20" i="12"/>
  <c r="H20" i="12" s="1"/>
  <c r="G25" i="12"/>
  <c r="I25" i="12" s="1"/>
  <c r="G26" i="12"/>
  <c r="H26" i="12" s="1"/>
  <c r="G18" i="12"/>
  <c r="H18" i="12" s="1"/>
  <c r="G33" i="12"/>
  <c r="H33" i="12" s="1"/>
  <c r="C14" i="15"/>
  <c r="B14" i="15" s="1"/>
  <c r="C6" i="15"/>
  <c r="G32" i="12"/>
  <c r="H32" i="12" s="1"/>
  <c r="B16" i="15"/>
  <c r="G31" i="12"/>
  <c r="H31" i="12" s="1"/>
  <c r="G30" i="12"/>
  <c r="I30" i="12" s="1"/>
  <c r="B28" i="15"/>
  <c r="E28" i="15" s="1"/>
  <c r="B23" i="15"/>
  <c r="B22" i="15"/>
  <c r="B21" i="15"/>
  <c r="C17" i="15"/>
  <c r="B17" i="15" s="1"/>
  <c r="B11" i="15"/>
  <c r="B4" i="15"/>
  <c r="B8" i="15"/>
  <c r="C8" i="15"/>
  <c r="C7" i="15"/>
  <c r="B7" i="15" s="1"/>
  <c r="B6" i="15"/>
  <c r="F31" i="6"/>
  <c r="G29" i="12"/>
  <c r="H29" i="12" s="1"/>
  <c r="G23" i="12"/>
  <c r="I23" i="12" s="1"/>
  <c r="G21" i="12"/>
  <c r="I21" i="12" s="1"/>
  <c r="G19" i="12"/>
  <c r="I19" i="12" s="1"/>
  <c r="G17" i="12"/>
  <c r="I17" i="12" s="1"/>
  <c r="G16" i="12"/>
  <c r="I16" i="12" s="1"/>
  <c r="G15" i="12"/>
  <c r="I15" i="12" s="1"/>
  <c r="G28" i="12"/>
  <c r="H28" i="12" s="1"/>
  <c r="G27" i="12"/>
  <c r="H27" i="12" s="1"/>
  <c r="G2" i="6"/>
  <c r="E2" i="6"/>
  <c r="G13" i="12"/>
  <c r="H13" i="12" s="1"/>
  <c r="D10" i="7"/>
  <c r="G8" i="12"/>
  <c r="H8" i="12" s="1"/>
  <c r="G35" i="12"/>
  <c r="H35" i="12" s="1"/>
  <c r="G36" i="12"/>
  <c r="H36" i="12" s="1"/>
  <c r="G2" i="12"/>
  <c r="I2" i="12" s="1"/>
  <c r="G3" i="12"/>
  <c r="I3" i="12" s="1"/>
  <c r="G4" i="12"/>
  <c r="G5" i="12"/>
  <c r="I5" i="12" s="1"/>
  <c r="G6" i="12"/>
  <c r="I6" i="12" s="1"/>
  <c r="G7" i="12"/>
  <c r="H7" i="12" s="1"/>
  <c r="G9" i="12"/>
  <c r="H9" i="12" s="1"/>
  <c r="G10" i="12"/>
  <c r="I10" i="12" s="1"/>
  <c r="G11" i="12"/>
  <c r="H11" i="12" s="1"/>
  <c r="G12" i="12"/>
  <c r="H12" i="12" s="1"/>
  <c r="G14" i="12"/>
  <c r="I14" i="12" s="1"/>
  <c r="C8" i="9"/>
  <c r="B6" i="7"/>
  <c r="C13" i="15" s="1"/>
  <c r="B13" i="15" s="1"/>
  <c r="D10" i="1"/>
  <c r="B5" i="7" s="1"/>
  <c r="C40" i="12"/>
  <c r="C12" i="15" s="1"/>
  <c r="B12" i="15" s="1"/>
  <c r="J2" i="5"/>
  <c r="E2" i="5" s="1"/>
  <c r="I2" i="5" s="1"/>
  <c r="C12" i="10"/>
  <c r="J3" i="5"/>
  <c r="E3" i="5" s="1"/>
  <c r="I3" i="5" s="1"/>
  <c r="C10" i="2"/>
  <c r="C9" i="8"/>
  <c r="E10" i="2"/>
  <c r="F2" i="2"/>
  <c r="F3" i="2"/>
  <c r="F4" i="2"/>
  <c r="F5" i="2"/>
  <c r="F6" i="2"/>
  <c r="F7" i="2"/>
  <c r="F8" i="2"/>
  <c r="F9" i="2"/>
  <c r="J38" i="12" l="1"/>
  <c r="J39" i="12"/>
  <c r="B15" i="15"/>
  <c r="E18" i="15" s="1"/>
  <c r="H4" i="12"/>
  <c r="I4" i="12"/>
  <c r="J4" i="12" s="1"/>
  <c r="J16" i="12"/>
  <c r="J15" i="12"/>
  <c r="H22" i="12"/>
  <c r="I18" i="12"/>
  <c r="J18" i="12" s="1"/>
  <c r="I34" i="12"/>
  <c r="I33" i="12"/>
  <c r="I20" i="12"/>
  <c r="I9" i="12"/>
  <c r="I8" i="12"/>
  <c r="I7" i="12"/>
  <c r="I29" i="12"/>
  <c r="I28" i="12"/>
  <c r="I32" i="12"/>
  <c r="I27" i="12"/>
  <c r="I26" i="12"/>
  <c r="J26" i="12" s="1"/>
  <c r="I13" i="12"/>
  <c r="I31" i="12"/>
  <c r="I12" i="12"/>
  <c r="I36" i="12"/>
  <c r="I24" i="12"/>
  <c r="J24" i="12" s="1"/>
  <c r="I11" i="12"/>
  <c r="J11" i="12" s="1"/>
  <c r="I35" i="12"/>
  <c r="J2" i="12"/>
  <c r="H25" i="12"/>
  <c r="E9" i="15"/>
  <c r="H30" i="12"/>
  <c r="H16" i="12"/>
  <c r="H15" i="12"/>
  <c r="H19" i="12"/>
  <c r="H21" i="12"/>
  <c r="H17" i="12"/>
  <c r="H23" i="12"/>
  <c r="H5" i="12"/>
  <c r="H10" i="12"/>
  <c r="H6" i="12"/>
  <c r="H3" i="12"/>
  <c r="H2" i="12"/>
  <c r="H14" i="12"/>
  <c r="E5" i="5"/>
  <c r="B14" i="7"/>
  <c r="F10" i="2"/>
  <c r="B33" i="15" l="1"/>
  <c r="J37" i="12"/>
  <c r="E19" i="15"/>
  <c r="G19" i="15" s="1"/>
  <c r="J7" i="12"/>
  <c r="J31" i="12"/>
  <c r="J23" i="12"/>
  <c r="J22" i="12"/>
  <c r="J17" i="12"/>
  <c r="J6" i="12"/>
  <c r="J3" i="12"/>
  <c r="J33" i="12"/>
  <c r="J9" i="12"/>
  <c r="J28" i="12"/>
  <c r="J12" i="12"/>
  <c r="J25" i="12"/>
  <c r="J27" i="12"/>
  <c r="J20" i="12"/>
  <c r="J21" i="12"/>
  <c r="J19" i="12"/>
  <c r="J13" i="12"/>
  <c r="J14" i="12"/>
  <c r="J35" i="12"/>
  <c r="J29" i="12"/>
  <c r="J10" i="12"/>
  <c r="J34" i="12"/>
  <c r="J32" i="12"/>
  <c r="J5" i="12"/>
  <c r="J8" i="12"/>
  <c r="J30" i="12"/>
  <c r="J36" i="12"/>
  <c r="H40" i="12"/>
  <c r="B4" i="7" s="1"/>
  <c r="D8" i="7" s="1"/>
  <c r="I4" i="5"/>
  <c r="B10" i="7" s="1"/>
  <c r="D13" i="7" l="1"/>
  <c r="B11" i="7"/>
</calcChain>
</file>

<file path=xl/sharedStrings.xml><?xml version="1.0" encoding="utf-8"?>
<sst xmlns="http://schemas.openxmlformats.org/spreadsheetml/2006/main" count="256" uniqueCount="162">
  <si>
    <t>sno</t>
  </si>
  <si>
    <t>bank name</t>
  </si>
  <si>
    <t>savings account</t>
  </si>
  <si>
    <t>total</t>
  </si>
  <si>
    <t>Paytm</t>
  </si>
  <si>
    <t>HDFC</t>
  </si>
  <si>
    <t>Union</t>
  </si>
  <si>
    <t>Paytm Wallet</t>
  </si>
  <si>
    <t>Sno</t>
  </si>
  <si>
    <t>Fund Name</t>
  </si>
  <si>
    <t>invested</t>
  </si>
  <si>
    <t>Quant Small cap</t>
  </si>
  <si>
    <t>returns %</t>
  </si>
  <si>
    <t>HDFC Balanced Advantage</t>
  </si>
  <si>
    <t>HDFC Infrastructure</t>
  </si>
  <si>
    <t>Bandan Nifty 50 Index</t>
  </si>
  <si>
    <t>PGIM India Midcap Opportunites</t>
  </si>
  <si>
    <t>Nippon India Small Cap</t>
  </si>
  <si>
    <t xml:space="preserve">ICICI Predential NasDAQ 100 Index </t>
  </si>
  <si>
    <t>Account Holder</t>
  </si>
  <si>
    <t>Teja</t>
  </si>
  <si>
    <t>SNO</t>
  </si>
  <si>
    <t>Symbol</t>
  </si>
  <si>
    <t>BEL</t>
  </si>
  <si>
    <t>BHARTIARTL</t>
  </si>
  <si>
    <t>BHEL</t>
  </si>
  <si>
    <t>BIRLACORPN</t>
  </si>
  <si>
    <t>CHALET</t>
  </si>
  <si>
    <t>HCLTECH</t>
  </si>
  <si>
    <t>IDFCFIRSTB</t>
  </si>
  <si>
    <t>LT</t>
  </si>
  <si>
    <t>MEDANTA</t>
  </si>
  <si>
    <t>NBCC</t>
  </si>
  <si>
    <t>OIL</t>
  </si>
  <si>
    <t>PAYTM</t>
  </si>
  <si>
    <t>PEL</t>
  </si>
  <si>
    <t>PFC</t>
  </si>
  <si>
    <t>POWERGRID</t>
  </si>
  <si>
    <t>PRESTIGE</t>
  </si>
  <si>
    <t>PRICOLLTD6</t>
  </si>
  <si>
    <t>SBIN</t>
  </si>
  <si>
    <t>ZOMATO</t>
  </si>
  <si>
    <t>Average Price</t>
  </si>
  <si>
    <t>Previous Closing Price</t>
  </si>
  <si>
    <t>Quantity Available</t>
  </si>
  <si>
    <t>Equity Holdings Statement as on 2024-06-06</t>
  </si>
  <si>
    <t>Summary</t>
  </si>
  <si>
    <t>Invested Value</t>
  </si>
  <si>
    <t>Present Value</t>
  </si>
  <si>
    <t>Unrealized P&amp;L</t>
  </si>
  <si>
    <t>Unrealized P&amp;L Pct.</t>
  </si>
  <si>
    <t>wallet</t>
  </si>
  <si>
    <t>Amount</t>
  </si>
  <si>
    <t>Intrest Rate</t>
  </si>
  <si>
    <t>Srinivas Mama</t>
  </si>
  <si>
    <t>Venkatesh Babai</t>
  </si>
  <si>
    <t>LIC</t>
  </si>
  <si>
    <t>Organsation</t>
  </si>
  <si>
    <t>Value</t>
  </si>
  <si>
    <t>paid</t>
  </si>
  <si>
    <t>Ramesh</t>
  </si>
  <si>
    <t>duration</t>
  </si>
  <si>
    <t>emi</t>
  </si>
  <si>
    <t>maturity</t>
  </si>
  <si>
    <t>Given To</t>
  </si>
  <si>
    <t>Ramesh Uncle</t>
  </si>
  <si>
    <t>Started</t>
  </si>
  <si>
    <t>Current_value</t>
  </si>
  <si>
    <t>Sip</t>
  </si>
  <si>
    <t>amount</t>
  </si>
  <si>
    <t>Name</t>
  </si>
  <si>
    <t>Months</t>
  </si>
  <si>
    <t>total_paid</t>
  </si>
  <si>
    <t>Bank</t>
  </si>
  <si>
    <t>Mutal_fund</t>
  </si>
  <si>
    <t>Stocks</t>
  </si>
  <si>
    <t>Loans</t>
  </si>
  <si>
    <t>Chits</t>
  </si>
  <si>
    <t>PF</t>
  </si>
  <si>
    <t>Salary</t>
  </si>
  <si>
    <t>Type</t>
  </si>
  <si>
    <t>Person</t>
  </si>
  <si>
    <t>from</t>
  </si>
  <si>
    <t>JPMC</t>
  </si>
  <si>
    <t>Intrest</t>
  </si>
  <si>
    <t>Srinivas</t>
  </si>
  <si>
    <t>Venkatesh</t>
  </si>
  <si>
    <t>Prasad</t>
  </si>
  <si>
    <t>Rukmini</t>
  </si>
  <si>
    <t>Pension</t>
  </si>
  <si>
    <t>Manideep</t>
  </si>
  <si>
    <t>PM</t>
  </si>
  <si>
    <t>AXIS</t>
  </si>
  <si>
    <t>to</t>
  </si>
  <si>
    <t>Muatal Funds</t>
  </si>
  <si>
    <t>Chit</t>
  </si>
  <si>
    <t>SIP</t>
  </si>
  <si>
    <t>EMI</t>
  </si>
  <si>
    <t>Total</t>
  </si>
  <si>
    <t>Savings each month</t>
  </si>
  <si>
    <t>Milk</t>
  </si>
  <si>
    <t>Grocery</t>
  </si>
  <si>
    <t>Fuel</t>
  </si>
  <si>
    <t>Medicine</t>
  </si>
  <si>
    <t>Food</t>
  </si>
  <si>
    <t>Gas</t>
  </si>
  <si>
    <t>Electricity</t>
  </si>
  <si>
    <t>Mainatanace</t>
  </si>
  <si>
    <t>Water Bill</t>
  </si>
  <si>
    <t>Sbi</t>
  </si>
  <si>
    <t>ICICI Predential Commodities</t>
  </si>
  <si>
    <t>nps</t>
  </si>
  <si>
    <t>Internet</t>
  </si>
  <si>
    <t>IndusInd</t>
  </si>
  <si>
    <t>Invested</t>
  </si>
  <si>
    <t>Maturity Date</t>
  </si>
  <si>
    <t>Created Date</t>
  </si>
  <si>
    <t>day_to_mature</t>
  </si>
  <si>
    <t>TODAY</t>
  </si>
  <si>
    <t>Current_amount</t>
  </si>
  <si>
    <t>Fixed Deposit</t>
  </si>
  <si>
    <t>used for</t>
  </si>
  <si>
    <t>NA</t>
  </si>
  <si>
    <t>SALARY</t>
  </si>
  <si>
    <t>MUTAL FUNDS</t>
  </si>
  <si>
    <t>DATE</t>
  </si>
  <si>
    <t>date</t>
  </si>
  <si>
    <t>emi no</t>
  </si>
  <si>
    <t>start date</t>
  </si>
  <si>
    <t>IndusIndR</t>
  </si>
  <si>
    <t>net_value</t>
  </si>
  <si>
    <t>emi_paid</t>
  </si>
  <si>
    <t>JPMC Stocks</t>
  </si>
  <si>
    <t>Column1</t>
  </si>
  <si>
    <t>sneha</t>
  </si>
  <si>
    <t>Home Loan</t>
  </si>
  <si>
    <t>banks</t>
  </si>
  <si>
    <t>Loans Given</t>
  </si>
  <si>
    <t>Investments</t>
  </si>
  <si>
    <t>loan mani</t>
  </si>
  <si>
    <t>loan venkat</t>
  </si>
  <si>
    <t>Gratuity</t>
  </si>
  <si>
    <t xml:space="preserve">salary </t>
  </si>
  <si>
    <t>variable</t>
  </si>
  <si>
    <t>cto bonus</t>
  </si>
  <si>
    <t>pf</t>
  </si>
  <si>
    <t>stocks</t>
  </si>
  <si>
    <t>corporate</t>
  </si>
  <si>
    <t>personal</t>
  </si>
  <si>
    <t>srinivas mama</t>
  </si>
  <si>
    <t>fd intrest</t>
  </si>
  <si>
    <t>mutual funds</t>
  </si>
  <si>
    <t>chits</t>
  </si>
  <si>
    <t>prasad</t>
  </si>
  <si>
    <t>pfintrest</t>
  </si>
  <si>
    <t>graduty</t>
  </si>
  <si>
    <t>mom</t>
  </si>
  <si>
    <t>pension</t>
  </si>
  <si>
    <t>ramesh</t>
  </si>
  <si>
    <t>venkatest</t>
  </si>
  <si>
    <t>mani</t>
  </si>
  <si>
    <t>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</si>
</sst>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333333"/>
      <name val="Arial"/>
      <family val="2"/>
    </font>
    <font>
      <sz val="8"/>
      <name val="Calibri"/>
      <family val="2"/>
      <scheme val="minor"/>
    </font>
    <font>
      <b/>
      <sz val="11"/>
      <color rgb="FFFBFBFB"/>
      <name val="Calibri"/>
      <family val="2"/>
    </font>
    <font>
      <sz val="8"/>
      <color theme="1"/>
      <name val="Arial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Arial"/>
      <family val="2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0E0E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wrapText="1"/>
    </xf>
    <xf numFmtId="0" fontId="1" fillId="0" borderId="0" xfId="1" applyAlignment="1">
      <alignment horizontal="left" wrapText="1"/>
    </xf>
    <xf numFmtId="0" fontId="1" fillId="0" borderId="0" xfId="1"/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17" fontId="0" fillId="0" borderId="0" xfId="0" applyNumberFormat="1"/>
    <xf numFmtId="14" fontId="0" fillId="0" borderId="0" xfId="0" applyNumberFormat="1"/>
    <xf numFmtId="14" fontId="3" fillId="0" borderId="0" xfId="0" applyNumberFormat="1" applyFont="1"/>
    <xf numFmtId="0" fontId="5" fillId="0" borderId="0" xfId="1" applyFont="1" applyAlignment="1">
      <alignment horizontal="left" wrapText="1"/>
    </xf>
    <xf numFmtId="0" fontId="6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/>
    <xf numFmtId="0" fontId="8" fillId="0" borderId="0" xfId="0" applyFont="1" applyAlignment="1">
      <alignment horizontal="right" wrapText="1"/>
    </xf>
    <xf numFmtId="0" fontId="9" fillId="0" borderId="0" xfId="0" applyFont="1" applyAlignment="1">
      <alignment horizontal="right" wrapText="1"/>
    </xf>
    <xf numFmtId="0" fontId="8" fillId="0" borderId="0" xfId="0" applyFont="1" applyAlignment="1">
      <alignment horizontal="left" wrapText="1"/>
    </xf>
    <xf numFmtId="0" fontId="11" fillId="0" borderId="1" xfId="0" applyFont="1" applyBorder="1" applyAlignment="1">
      <alignment horizontal="left" vertical="center" wrapText="1" indent="1"/>
    </xf>
    <xf numFmtId="0" fontId="11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0" xfId="0" applyFont="1" applyAlignment="1">
      <alignment horizontal="left" wrapText="1"/>
    </xf>
    <xf numFmtId="0" fontId="7" fillId="0" borderId="0" xfId="0" applyFont="1"/>
    <xf numFmtId="0" fontId="12" fillId="0" borderId="0" xfId="0" applyFont="1"/>
    <xf numFmtId="3" fontId="0" fillId="0" borderId="0" xfId="0" applyNumberFormat="1"/>
    <xf numFmtId="0" fontId="7" fillId="0" borderId="0" xfId="0" applyFont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14" fontId="8" fillId="0" borderId="0" xfId="0" applyNumberFormat="1" applyFont="1"/>
    <xf numFmtId="0" fontId="8" fillId="0" borderId="0" xfId="0" applyFont="1"/>
    <xf numFmtId="0" fontId="7" fillId="2" borderId="0" xfId="0" applyFont="1" applyFill="1" applyAlignment="1">
      <alignment vertical="center" wrapText="1"/>
    </xf>
    <xf numFmtId="14" fontId="7" fillId="2" borderId="0" xfId="0" applyNumberFormat="1" applyFont="1" applyFill="1" applyAlignment="1">
      <alignment vertical="center" wrapText="1"/>
    </xf>
    <xf numFmtId="14" fontId="8" fillId="2" borderId="0" xfId="0" applyNumberFormat="1" applyFont="1" applyFill="1"/>
    <xf numFmtId="0" fontId="7" fillId="0" borderId="2" xfId="0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14" fontId="8" fillId="0" borderId="2" xfId="0" applyNumberFormat="1" applyFont="1" applyBorder="1"/>
    <xf numFmtId="0" fontId="8" fillId="2" borderId="0" xfId="0" applyFont="1" applyFill="1"/>
    <xf numFmtId="0" fontId="8" fillId="0" borderId="2" xfId="0" applyFont="1" applyBorder="1"/>
    <xf numFmtId="0" fontId="7" fillId="0" borderId="2" xfId="0" applyFont="1" applyBorder="1"/>
    <xf numFmtId="0" fontId="8" fillId="0" borderId="0" xfId="0" applyNumberFormat="1" applyFont="1"/>
  </cellXfs>
  <cellStyles count="2">
    <cellStyle name="Normal" xfId="0" builtinId="0"/>
    <cellStyle name="Normal 2" xfId="1" xr:uid="{9D3ED4A0-C7E5-46C0-9EEF-9479D242E4E6}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D981E6-3725-4800-99F6-4F049F3A64A5}" name="Table2" displayName="Table2" ref="A1:E10" totalsRowCount="1" headerRowDxfId="40" dataDxfId="39" totalsRowDxfId="38">
  <autoFilter ref="A1:E9" xr:uid="{A4D981E6-3725-4800-99F6-4F049F3A64A5}"/>
  <tableColumns count="5">
    <tableColumn id="1" xr3:uid="{763F76D4-1672-426D-99DB-08F798F7F125}" name="sno" dataDxfId="37" totalsRowDxfId="4"/>
    <tableColumn id="7" xr3:uid="{3B53AB5D-CAED-4CFB-ABEA-3FC032A8C6B5}" name="Account Holder" dataDxfId="36" totalsRowDxfId="3"/>
    <tableColumn id="2" xr3:uid="{ABA60AD5-F8A4-4489-9987-16571A589E0E}" name="bank name" dataDxfId="35" totalsRowDxfId="2"/>
    <tableColumn id="3" xr3:uid="{F7862F0D-9DC0-4D8D-935B-12064C94BDC7}" name="savings account" totalsRowFunction="sum" dataDxfId="34" totalsRowDxfId="1"/>
    <tableColumn id="4" xr3:uid="{C891D312-83FA-4B42-99AA-7C1EB17D7DFB}" name="used for" dataDxfId="33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6B1719-EB06-48D7-9DE7-4092668D79BD}" name="Table1" displayName="Table1" ref="A1:J40" totalsRowCount="1" headerRowDxfId="32" dataDxfId="31" totalsRowDxfId="30">
  <autoFilter ref="A1:J39" xr:uid="{406B1719-EB06-48D7-9DE7-4092668D79BD}"/>
  <sortState xmlns:xlrd2="http://schemas.microsoft.com/office/spreadsheetml/2017/richdata2" ref="A2:J39">
    <sortCondition ref="I1:I39"/>
  </sortState>
  <tableColumns count="10">
    <tableColumn id="1" xr3:uid="{94ABB903-2BFD-4583-AC6A-4B127353975B}" name="SNO" dataDxfId="29"/>
    <tableColumn id="2" xr3:uid="{4BCB56E1-DE43-40DF-BA73-8CA57C832FFF}" name="Bank" dataDxfId="28"/>
    <tableColumn id="3" xr3:uid="{1CE77272-2097-47B7-8CDA-FF92AB83A001}" name="Invested" totalsRowFunction="custom" dataDxfId="27">
      <totalsRowFormula>SUM(Table1[Invested])</totalsRowFormula>
    </tableColumn>
    <tableColumn id="4" xr3:uid="{813C5ABA-E123-4801-9764-BA8C6823D305}" name="Intrest" dataDxfId="26"/>
    <tableColumn id="5" xr3:uid="{97658F3C-9336-4A4E-B4E3-E22EE74FEBAC}" name="Maturity Date" dataDxfId="25"/>
    <tableColumn id="9" xr3:uid="{DABD89C4-75D9-4414-BE39-75687EC0AB3C}" name="Created Date" dataDxfId="24"/>
    <tableColumn id="7" xr3:uid="{8BFCAD2D-96A4-4FB2-9B7E-87E869C54374}" name="TODAY" dataDxfId="23">
      <calculatedColumnFormula>TODAY()</calculatedColumnFormula>
    </tableColumn>
    <tableColumn id="10" xr3:uid="{EEFEE3D8-8627-4688-A6C1-A8B37BB9CE0D}" name="Current_amount" totalsRowFunction="custom" dataDxfId="22">
      <calculatedColumnFormula>(_xlfn.NUMBERVALUE(Table1[[#This Row],[TODAY]]-Table1[[#This Row],[Created Date]])*Table1[[#This Row],[Intrest]]*Table1[[#This Row],[Invested]]/36500)+Table1[[#This Row],[Invested]]</calculatedColumnFormula>
      <totalsRowFormula>SUM(Table1[Current_amount])</totalsRowFormula>
    </tableColumn>
    <tableColumn id="11" xr3:uid="{D63B5A03-D37B-4BEE-8C87-A71C71AC9350}" name="day_to_mature" dataDxfId="21">
      <calculatedColumnFormula>_xlfn.NUMBERVALUE(Table1[[#This Row],[Maturity Date]]-Table1[[#This Row],[TODAY]])</calculatedColumnFormula>
    </tableColumn>
    <tableColumn id="6" xr3:uid="{0F953578-A596-4B6F-B3EF-C1471EFBA8C4}" name="Column1" dataDxfId="20">
      <calculatedColumnFormula>I2-I1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D8F26E-56CE-4342-BEBA-241DF0D09771}" name="Table4" displayName="Table4" ref="A1:E20" totalsRowShown="0" headerRowDxfId="19" dataDxfId="18" headerRowCellStyle="Normal 2" dataCellStyle="Normal 2">
  <autoFilter ref="A1:E20" xr:uid="{F6D8F26E-56CE-4342-BEBA-241DF0D09771}"/>
  <tableColumns count="5">
    <tableColumn id="1" xr3:uid="{4A1B7205-D7DD-496F-BDD3-B3AB6476DD4C}" name="SNO" dataDxfId="17"/>
    <tableColumn id="2" xr3:uid="{036619A7-AAAE-4BBD-B0BB-6AC796AFC7AE}" name="Symbol" dataDxfId="16" dataCellStyle="Normal 2"/>
    <tableColumn id="3" xr3:uid="{5B43D277-D773-4E0E-9B4D-1D63F4E9CD99}" name="Average Price" dataDxfId="15" dataCellStyle="Normal 2"/>
    <tableColumn id="4" xr3:uid="{312E67E3-D873-462D-A656-E218B78634DC}" name="Previous Closing Price" dataDxfId="14" dataCellStyle="Normal 2"/>
    <tableColumn id="5" xr3:uid="{D59F2DA5-E471-4552-A278-2F60FD1638BA}" name="Quantity Available" dataDxfId="13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9E5964-A287-43CA-96B3-FCE01BBBAAF1}" name="Table3" displayName="Table3" ref="A1:F10" totalsRowCount="1" headerRowDxfId="12" dataDxfId="11">
  <autoFilter ref="A1:F9" xr:uid="{339E5964-A287-43CA-96B3-FCE01BBBAAF1}"/>
  <tableColumns count="6">
    <tableColumn id="1" xr3:uid="{A5BC21A2-633A-4F7C-B24C-EE8D522DBF07}" name="Sno" dataDxfId="10"/>
    <tableColumn id="2" xr3:uid="{4578EEB0-82A1-4BE0-86C8-7FC36145920E}" name="Fund Name" dataDxfId="9"/>
    <tableColumn id="3" xr3:uid="{E390AC40-DE2B-4A7F-9916-5B237DA5CEB3}" name="invested" totalsRowFunction="custom" dataDxfId="8">
      <totalsRowFormula>SUM(C2:C9)</totalsRowFormula>
    </tableColumn>
    <tableColumn id="4" xr3:uid="{9B99ADD2-AF74-4530-92D2-5EF35B0DA13C}" name="returns %" dataDxfId="7"/>
    <tableColumn id="6" xr3:uid="{09F93D40-E230-40A7-AF00-72EDF61F2085}" name="Sip" totalsRowFunction="custom" dataDxfId="6">
      <totalsRowFormula>SUM(E2:E9)</totalsRowFormula>
    </tableColumn>
    <tableColumn id="5" xr3:uid="{2FA23469-A5FF-475E-973C-314A21ACADB7}" name="total" totalsRowFunction="custom" dataDxfId="5">
      <calculatedColumnFormula>C2+C2*D2/100</calculatedColumnFormula>
      <totalsRowFormula>SUM(F2:F9)</totalsRow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ED55BD5-3343-4066-86D4-6A3CEA5B67E8}" name="Table6" displayName="Table6" ref="A1:D6" totalsRowShown="0">
  <autoFilter ref="A1:D6" xr:uid="{9ED55BD5-3343-4066-86D4-6A3CEA5B67E8}"/>
  <tableColumns count="4">
    <tableColumn id="1" xr3:uid="{DFDBB4EB-191C-48EB-9520-EDFFDBC46A8D}" name="Sno"/>
    <tableColumn id="2" xr3:uid="{DA74B0FD-B1F1-4FF2-98DF-5BF95BC867E9}" name="Given To"/>
    <tableColumn id="3" xr3:uid="{E678D238-7A7B-40CB-93DB-7B16439F75D5}" name="Amount"/>
    <tableColumn id="4" xr3:uid="{6929ECD8-6B98-41B8-919A-611A4CCB4F90}" name="Intrest R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9D90-8586-464C-89F6-C6553AF00FF2}">
  <dimension ref="A1:E15"/>
  <sheetViews>
    <sheetView tabSelected="1" workbookViewId="0">
      <selection activeCell="E21" sqref="E21"/>
    </sheetView>
  </sheetViews>
  <sheetFormatPr defaultColWidth="17.6640625" defaultRowHeight="15.6" x14ac:dyDescent="0.3"/>
  <cols>
    <col min="1" max="16384" width="17.6640625" style="12"/>
  </cols>
  <sheetData>
    <row r="1" spans="1:5" x14ac:dyDescent="0.3">
      <c r="A1" s="12" t="s">
        <v>0</v>
      </c>
      <c r="B1" s="12" t="s">
        <v>19</v>
      </c>
      <c r="C1" s="12" t="s">
        <v>1</v>
      </c>
      <c r="D1" s="12" t="s">
        <v>2</v>
      </c>
      <c r="E1" s="12" t="s">
        <v>121</v>
      </c>
    </row>
    <row r="2" spans="1:5" x14ac:dyDescent="0.3">
      <c r="A2" s="13">
        <v>1</v>
      </c>
      <c r="B2" s="13" t="s">
        <v>20</v>
      </c>
      <c r="C2" s="13" t="s">
        <v>4</v>
      </c>
      <c r="D2" s="11">
        <v>1472.3</v>
      </c>
      <c r="E2" s="13" t="s">
        <v>122</v>
      </c>
    </row>
    <row r="3" spans="1:5" x14ac:dyDescent="0.3">
      <c r="A3" s="13">
        <v>2</v>
      </c>
      <c r="B3" s="13" t="s">
        <v>20</v>
      </c>
      <c r="C3" s="13" t="s">
        <v>5</v>
      </c>
      <c r="D3" s="11">
        <v>178350.65</v>
      </c>
      <c r="E3" s="13" t="s">
        <v>123</v>
      </c>
    </row>
    <row r="4" spans="1:5" x14ac:dyDescent="0.3">
      <c r="A4" s="13">
        <v>3</v>
      </c>
      <c r="B4" s="13" t="s">
        <v>20</v>
      </c>
      <c r="C4" s="13" t="s">
        <v>6</v>
      </c>
      <c r="D4" s="11">
        <v>748</v>
      </c>
      <c r="E4" s="13" t="s">
        <v>124</v>
      </c>
    </row>
    <row r="5" spans="1:5" x14ac:dyDescent="0.3">
      <c r="A5" s="13">
        <v>4</v>
      </c>
      <c r="B5" s="13" t="s">
        <v>20</v>
      </c>
      <c r="C5" s="13" t="s">
        <v>7</v>
      </c>
      <c r="D5" s="13">
        <v>0</v>
      </c>
      <c r="E5" s="13" t="s">
        <v>122</v>
      </c>
    </row>
    <row r="6" spans="1:5" ht="16.2" thickBot="1" x14ac:dyDescent="0.35">
      <c r="A6" s="13">
        <v>5</v>
      </c>
      <c r="B6" s="13" t="s">
        <v>20</v>
      </c>
      <c r="C6" s="13" t="s">
        <v>113</v>
      </c>
      <c r="D6" s="11">
        <v>1712.42</v>
      </c>
      <c r="E6" s="20"/>
    </row>
    <row r="7" spans="1:5" x14ac:dyDescent="0.3">
      <c r="A7" s="13">
        <v>6</v>
      </c>
      <c r="B7" s="13" t="s">
        <v>88</v>
      </c>
      <c r="C7" s="13" t="s">
        <v>109</v>
      </c>
      <c r="D7" s="11">
        <v>66249.440000000002</v>
      </c>
      <c r="E7" s="13" t="s">
        <v>123</v>
      </c>
    </row>
    <row r="8" spans="1:5" x14ac:dyDescent="0.3">
      <c r="A8" s="13">
        <v>8</v>
      </c>
      <c r="B8" s="13" t="s">
        <v>88</v>
      </c>
      <c r="C8" s="13" t="s">
        <v>6</v>
      </c>
      <c r="D8" s="11">
        <v>11821.06</v>
      </c>
      <c r="E8" s="13" t="s">
        <v>122</v>
      </c>
    </row>
    <row r="9" spans="1:5" ht="16.2" thickBot="1" x14ac:dyDescent="0.35">
      <c r="A9" s="13">
        <v>7</v>
      </c>
      <c r="B9" s="13" t="s">
        <v>88</v>
      </c>
      <c r="C9" s="13" t="s">
        <v>113</v>
      </c>
      <c r="D9" s="11">
        <v>9651.48</v>
      </c>
      <c r="E9" s="20"/>
    </row>
    <row r="10" spans="1:5" x14ac:dyDescent="0.3">
      <c r="D10" s="12">
        <f>SUBTOTAL(109,Table2[savings account])</f>
        <v>270005.34999999998</v>
      </c>
    </row>
    <row r="15" spans="1:5" x14ac:dyDescent="0.3">
      <c r="C15" s="2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A5021-FC2B-49EC-BBD0-BBD93159357D}">
  <dimension ref="A1:J40"/>
  <sheetViews>
    <sheetView workbookViewId="0">
      <selection activeCell="E2" sqref="E2"/>
    </sheetView>
  </sheetViews>
  <sheetFormatPr defaultRowHeight="14.4" x14ac:dyDescent="0.3"/>
  <cols>
    <col min="1" max="1" width="9" bestFit="1" customWidth="1"/>
    <col min="2" max="2" width="14.33203125" customWidth="1"/>
    <col min="3" max="3" width="10.109375" customWidth="1"/>
    <col min="4" max="4" width="9" bestFit="1" customWidth="1"/>
    <col min="5" max="5" width="14.5546875" customWidth="1"/>
    <col min="6" max="6" width="16.5546875" customWidth="1"/>
    <col min="7" max="7" width="11.21875" bestFit="1" customWidth="1"/>
    <col min="8" max="8" width="18.33203125" customWidth="1"/>
    <col min="9" max="9" width="17" customWidth="1"/>
    <col min="10" max="10" width="15.77734375" customWidth="1"/>
  </cols>
  <sheetData>
    <row r="1" spans="1:10" x14ac:dyDescent="0.3">
      <c r="A1" t="s">
        <v>21</v>
      </c>
      <c r="B1" t="s">
        <v>73</v>
      </c>
      <c r="C1" t="s">
        <v>114</v>
      </c>
      <c r="D1" t="s">
        <v>84</v>
      </c>
      <c r="E1" t="s">
        <v>115</v>
      </c>
      <c r="F1" t="s">
        <v>116</v>
      </c>
      <c r="G1" t="s">
        <v>118</v>
      </c>
      <c r="H1" t="s">
        <v>119</v>
      </c>
      <c r="I1" t="s">
        <v>117</v>
      </c>
      <c r="J1" t="s">
        <v>133</v>
      </c>
    </row>
    <row r="2" spans="1:10" ht="15.6" x14ac:dyDescent="0.3">
      <c r="A2" s="25">
        <v>2</v>
      </c>
      <c r="B2" s="25" t="s">
        <v>5</v>
      </c>
      <c r="C2" s="25">
        <v>100000</v>
      </c>
      <c r="D2" s="25">
        <v>7.25</v>
      </c>
      <c r="E2" s="26">
        <v>46121</v>
      </c>
      <c r="F2" s="26">
        <v>45512</v>
      </c>
      <c r="G2" s="27">
        <f t="shared" ref="G2:G39" ca="1" si="0">TODAY()</f>
        <v>46110</v>
      </c>
      <c r="H2" s="28">
        <f ca="1">(_xlfn.NUMBERVALUE(Table1[[#This Row],[TODAY]]-Table1[[#This Row],[Created Date]])*Table1[[#This Row],[Intrest]]*Table1[[#This Row],[Invested]]/36500)+Table1[[#This Row],[Invested]]</f>
        <v>111878.08219178082</v>
      </c>
      <c r="I2" s="28">
        <f ca="1">_xlfn.NUMBERVALUE(Table1[[#This Row],[Maturity Date]]-Table1[[#This Row],[TODAY]])</f>
        <v>11</v>
      </c>
      <c r="J2" s="28" t="e">
        <f ca="1">I2-#REF!</f>
        <v>#REF!</v>
      </c>
    </row>
    <row r="3" spans="1:10" ht="15.6" x14ac:dyDescent="0.3">
      <c r="A3" s="25">
        <v>3</v>
      </c>
      <c r="B3" s="25" t="s">
        <v>129</v>
      </c>
      <c r="C3" s="25">
        <v>100000</v>
      </c>
      <c r="D3" s="25">
        <v>7.99</v>
      </c>
      <c r="E3" s="26">
        <v>46158</v>
      </c>
      <c r="F3" s="26">
        <v>45642</v>
      </c>
      <c r="G3" s="27">
        <f t="shared" ca="1" si="0"/>
        <v>46110</v>
      </c>
      <c r="H3" s="28">
        <f ca="1">(_xlfn.NUMBERVALUE(Table1[[#This Row],[TODAY]]-Table1[[#This Row],[Created Date]])*Table1[[#This Row],[Intrest]]*Table1[[#This Row],[Invested]]/36500)+Table1[[#This Row],[Invested]]</f>
        <v>110244.71232876713</v>
      </c>
      <c r="I3" s="28">
        <f ca="1">_xlfn.NUMBERVALUE(Table1[[#This Row],[Maturity Date]]-Table1[[#This Row],[TODAY]])</f>
        <v>48</v>
      </c>
      <c r="J3" s="28">
        <f t="shared" ref="J3:J39" ca="1" si="1">I3-I2</f>
        <v>37</v>
      </c>
    </row>
    <row r="4" spans="1:10" ht="12" customHeight="1" x14ac:dyDescent="0.3">
      <c r="A4" s="25">
        <v>4</v>
      </c>
      <c r="B4" s="25" t="s">
        <v>129</v>
      </c>
      <c r="C4" s="25">
        <v>100000</v>
      </c>
      <c r="D4" s="25">
        <v>7.99</v>
      </c>
      <c r="E4" s="26">
        <v>46159</v>
      </c>
      <c r="F4" s="26">
        <v>45643</v>
      </c>
      <c r="G4" s="27">
        <f t="shared" ca="1" si="0"/>
        <v>46110</v>
      </c>
      <c r="H4" s="28">
        <f ca="1">(_xlfn.NUMBERVALUE(Table1[[#This Row],[TODAY]]-Table1[[#This Row],[Created Date]])*Table1[[#This Row],[Intrest]]*Table1[[#This Row],[Invested]]/36500)+Table1[[#This Row],[Invested]]</f>
        <v>110222.82191780822</v>
      </c>
      <c r="I4" s="28">
        <f ca="1">_xlfn.NUMBERVALUE(Table1[[#This Row],[Maturity Date]]-Table1[[#This Row],[TODAY]])</f>
        <v>49</v>
      </c>
      <c r="J4" s="28">
        <f t="shared" ca="1" si="1"/>
        <v>1</v>
      </c>
    </row>
    <row r="5" spans="1:10" ht="15.6" x14ac:dyDescent="0.3">
      <c r="A5" s="25">
        <v>5</v>
      </c>
      <c r="B5" s="25" t="s">
        <v>113</v>
      </c>
      <c r="C5" s="25">
        <v>78248</v>
      </c>
      <c r="D5" s="25">
        <v>7.75</v>
      </c>
      <c r="E5" s="26">
        <v>46177</v>
      </c>
      <c r="F5" s="26">
        <v>45812</v>
      </c>
      <c r="G5" s="27">
        <f t="shared" ca="1" si="0"/>
        <v>46110</v>
      </c>
      <c r="H5" s="28">
        <f ca="1">(_xlfn.NUMBERVALUE(Table1[[#This Row],[TODAY]]-Table1[[#This Row],[Created Date]])*Table1[[#This Row],[Intrest]]*Table1[[#This Row],[Invested]]/36500)+Table1[[#This Row],[Invested]]</f>
        <v>83199.06180821918</v>
      </c>
      <c r="I5" s="28">
        <f ca="1">_xlfn.NUMBERVALUE(Table1[[#This Row],[Maturity Date]]-Table1[[#This Row],[TODAY]])</f>
        <v>67</v>
      </c>
      <c r="J5" s="28">
        <f t="shared" ca="1" si="1"/>
        <v>18</v>
      </c>
    </row>
    <row r="6" spans="1:10" ht="15.6" x14ac:dyDescent="0.3">
      <c r="A6" s="25">
        <v>6</v>
      </c>
      <c r="B6" s="25" t="s">
        <v>5</v>
      </c>
      <c r="C6" s="25">
        <v>100000</v>
      </c>
      <c r="D6" s="25">
        <v>7.25</v>
      </c>
      <c r="E6" s="26">
        <v>46193</v>
      </c>
      <c r="F6" s="26">
        <v>45646</v>
      </c>
      <c r="G6" s="27">
        <f t="shared" ca="1" si="0"/>
        <v>46110</v>
      </c>
      <c r="H6" s="28">
        <f ca="1">(_xlfn.NUMBERVALUE(Table1[[#This Row],[TODAY]]-Table1[[#This Row],[Created Date]])*Table1[[#This Row],[Intrest]]*Table1[[#This Row],[Invested]]/36500)+Table1[[#This Row],[Invested]]</f>
        <v>109216.43835616438</v>
      </c>
      <c r="I6" s="28">
        <f ca="1">_xlfn.NUMBERVALUE(Table1[[#This Row],[Maturity Date]]-Table1[[#This Row],[TODAY]])</f>
        <v>83</v>
      </c>
      <c r="J6" s="28">
        <f t="shared" ca="1" si="1"/>
        <v>16</v>
      </c>
    </row>
    <row r="7" spans="1:10" ht="15.6" x14ac:dyDescent="0.3">
      <c r="A7" s="25">
        <v>7</v>
      </c>
      <c r="B7" s="25" t="s">
        <v>113</v>
      </c>
      <c r="C7" s="25">
        <v>100000</v>
      </c>
      <c r="D7" s="25">
        <v>7</v>
      </c>
      <c r="E7" s="26">
        <v>46223</v>
      </c>
      <c r="F7" s="26">
        <v>45829</v>
      </c>
      <c r="G7" s="27">
        <f t="shared" ca="1" si="0"/>
        <v>46110</v>
      </c>
      <c r="H7" s="28">
        <f ca="1">(_xlfn.NUMBERVALUE(Table1[[#This Row],[TODAY]]-Table1[[#This Row],[Created Date]])*Table1[[#This Row],[Intrest]]*Table1[[#This Row],[Invested]]/36500)+Table1[[#This Row],[Invested]]</f>
        <v>105389.04109589041</v>
      </c>
      <c r="I7" s="28">
        <f ca="1">_xlfn.NUMBERVALUE(Table1[[#This Row],[Maturity Date]]-Table1[[#This Row],[TODAY]])</f>
        <v>113</v>
      </c>
      <c r="J7" s="28">
        <f t="shared" ca="1" si="1"/>
        <v>30</v>
      </c>
    </row>
    <row r="8" spans="1:10" ht="15.6" x14ac:dyDescent="0.3">
      <c r="A8" s="25">
        <v>8</v>
      </c>
      <c r="B8" s="29" t="s">
        <v>113</v>
      </c>
      <c r="C8" s="29">
        <v>100000</v>
      </c>
      <c r="D8" s="29">
        <v>7</v>
      </c>
      <c r="E8" s="30">
        <v>46239</v>
      </c>
      <c r="F8" s="30">
        <v>45843</v>
      </c>
      <c r="G8" s="31">
        <f t="shared" ca="1" si="0"/>
        <v>46110</v>
      </c>
      <c r="H8" s="28">
        <f ca="1">(_xlfn.NUMBERVALUE(Table1[[#This Row],[TODAY]]-Table1[[#This Row],[Created Date]])*Table1[[#This Row],[Intrest]]*Table1[[#This Row],[Invested]]/36500)+Table1[[#This Row],[Invested]]</f>
        <v>105120.54794520549</v>
      </c>
      <c r="I8" s="28">
        <f ca="1">_xlfn.NUMBERVALUE(Table1[[#This Row],[Maturity Date]]-Table1[[#This Row],[TODAY]])</f>
        <v>129</v>
      </c>
      <c r="J8" s="28">
        <f t="shared" ca="1" si="1"/>
        <v>16</v>
      </c>
    </row>
    <row r="9" spans="1:10" ht="15.6" x14ac:dyDescent="0.3">
      <c r="A9" s="25">
        <v>9</v>
      </c>
      <c r="B9" s="25" t="s">
        <v>113</v>
      </c>
      <c r="C9" s="25">
        <v>100000</v>
      </c>
      <c r="D9" s="25">
        <v>7</v>
      </c>
      <c r="E9" s="26">
        <v>46239</v>
      </c>
      <c r="F9" s="26">
        <v>45829</v>
      </c>
      <c r="G9" s="27">
        <f t="shared" ca="1" si="0"/>
        <v>46110</v>
      </c>
      <c r="H9" s="28">
        <f ca="1">(_xlfn.NUMBERVALUE(Table1[[#This Row],[TODAY]]-Table1[[#This Row],[Created Date]])*Table1[[#This Row],[Intrest]]*Table1[[#This Row],[Invested]]/36500)+Table1[[#This Row],[Invested]]</f>
        <v>105389.04109589041</v>
      </c>
      <c r="I9" s="28">
        <f ca="1">_xlfn.NUMBERVALUE(Table1[[#This Row],[Maturity Date]]-Table1[[#This Row],[TODAY]])</f>
        <v>129</v>
      </c>
      <c r="J9" s="28">
        <f t="shared" ca="1" si="1"/>
        <v>0</v>
      </c>
    </row>
    <row r="10" spans="1:10" ht="15.6" x14ac:dyDescent="0.3">
      <c r="A10" s="25">
        <v>10</v>
      </c>
      <c r="B10" s="32" t="s">
        <v>113</v>
      </c>
      <c r="C10" s="32">
        <v>100000</v>
      </c>
      <c r="D10" s="32">
        <v>7</v>
      </c>
      <c r="E10" s="33">
        <v>46255</v>
      </c>
      <c r="F10" s="33">
        <v>45829</v>
      </c>
      <c r="G10" s="34">
        <f t="shared" ca="1" si="0"/>
        <v>46110</v>
      </c>
      <c r="H10" s="28">
        <f ca="1">(_xlfn.NUMBERVALUE(Table1[[#This Row],[TODAY]]-Table1[[#This Row],[Created Date]])*Table1[[#This Row],[Intrest]]*Table1[[#This Row],[Invested]]/36500)+Table1[[#This Row],[Invested]]</f>
        <v>105389.04109589041</v>
      </c>
      <c r="I10" s="28">
        <f ca="1">_xlfn.NUMBERVALUE(Table1[[#This Row],[Maturity Date]]-Table1[[#This Row],[TODAY]])</f>
        <v>145</v>
      </c>
      <c r="J10" s="28">
        <f t="shared" ca="1" si="1"/>
        <v>16</v>
      </c>
    </row>
    <row r="11" spans="1:10" ht="15.6" x14ac:dyDescent="0.3">
      <c r="A11" s="25">
        <v>11</v>
      </c>
      <c r="B11" s="25" t="s">
        <v>5</v>
      </c>
      <c r="C11" s="25">
        <v>100000</v>
      </c>
      <c r="D11" s="25">
        <v>6.85</v>
      </c>
      <c r="E11" s="26">
        <v>46267</v>
      </c>
      <c r="F11" s="26">
        <v>45810</v>
      </c>
      <c r="G11" s="27">
        <f t="shared" ca="1" si="0"/>
        <v>46110</v>
      </c>
      <c r="H11" s="28">
        <f ca="1">(_xlfn.NUMBERVALUE(Table1[[#This Row],[TODAY]]-Table1[[#This Row],[Created Date]])*Table1[[#This Row],[Intrest]]*Table1[[#This Row],[Invested]]/36500)+Table1[[#This Row],[Invested]]</f>
        <v>105630.13698630137</v>
      </c>
      <c r="I11" s="28">
        <f ca="1">_xlfn.NUMBERVALUE(Table1[[#This Row],[Maturity Date]]-Table1[[#This Row],[TODAY]])</f>
        <v>157</v>
      </c>
      <c r="J11" s="28">
        <f t="shared" ca="1" si="1"/>
        <v>12</v>
      </c>
    </row>
    <row r="12" spans="1:10" ht="15.6" x14ac:dyDescent="0.3">
      <c r="A12" s="25">
        <v>12</v>
      </c>
      <c r="B12" s="29" t="s">
        <v>129</v>
      </c>
      <c r="C12" s="29">
        <v>100000</v>
      </c>
      <c r="D12" s="29">
        <v>7</v>
      </c>
      <c r="E12" s="30">
        <v>46277</v>
      </c>
      <c r="F12" s="30">
        <v>45516</v>
      </c>
      <c r="G12" s="31">
        <f t="shared" ca="1" si="0"/>
        <v>46110</v>
      </c>
      <c r="H12" s="35">
        <f ca="1">(_xlfn.NUMBERVALUE(Table1[[#This Row],[TODAY]]-Table1[[#This Row],[Created Date]])*Table1[[#This Row],[Intrest]]*Table1[[#This Row],[Invested]]/36500)+Table1[[#This Row],[Invested]]</f>
        <v>111391.78082191781</v>
      </c>
      <c r="I12" s="35">
        <f ca="1">_xlfn.NUMBERVALUE(Table1[[#This Row],[Maturity Date]]-Table1[[#This Row],[TODAY]])</f>
        <v>167</v>
      </c>
      <c r="J12" s="28">
        <f t="shared" ca="1" si="1"/>
        <v>10</v>
      </c>
    </row>
    <row r="13" spans="1:10" ht="15.6" x14ac:dyDescent="0.3">
      <c r="A13" s="25">
        <v>13</v>
      </c>
      <c r="B13" s="25" t="s">
        <v>129</v>
      </c>
      <c r="C13" s="25">
        <v>100000</v>
      </c>
      <c r="D13" s="25">
        <v>7</v>
      </c>
      <c r="E13" s="26">
        <v>46283</v>
      </c>
      <c r="F13" s="26">
        <v>45887</v>
      </c>
      <c r="G13" s="27">
        <f t="shared" ca="1" si="0"/>
        <v>46110</v>
      </c>
      <c r="H13" s="28">
        <f ca="1">(_xlfn.NUMBERVALUE(Table1[[#This Row],[TODAY]]-Table1[[#This Row],[Created Date]])*Table1[[#This Row],[Intrest]]*Table1[[#This Row],[Invested]]/36500)+Table1[[#This Row],[Invested]]</f>
        <v>104276.71232876713</v>
      </c>
      <c r="I13" s="35">
        <f ca="1">_xlfn.NUMBERVALUE(Table1[[#This Row],[Maturity Date]]-Table1[[#This Row],[TODAY]])</f>
        <v>173</v>
      </c>
      <c r="J13" s="28">
        <f t="shared" ca="1" si="1"/>
        <v>6</v>
      </c>
    </row>
    <row r="14" spans="1:10" ht="15.6" x14ac:dyDescent="0.3">
      <c r="A14" s="25">
        <v>14</v>
      </c>
      <c r="B14" s="32" t="s">
        <v>5</v>
      </c>
      <c r="C14" s="32">
        <v>100000</v>
      </c>
      <c r="D14" s="32">
        <v>6.85</v>
      </c>
      <c r="E14" s="33">
        <v>46297</v>
      </c>
      <c r="F14" s="33">
        <v>45810</v>
      </c>
      <c r="G14" s="34">
        <f t="shared" ca="1" si="0"/>
        <v>46110</v>
      </c>
      <c r="H14" s="36">
        <f ca="1">(_xlfn.NUMBERVALUE(Table1[[#This Row],[TODAY]]-Table1[[#This Row],[Created Date]])*Table1[[#This Row],[Intrest]]*Table1[[#This Row],[Invested]]/36500)+Table1[[#This Row],[Invested]]</f>
        <v>105630.13698630137</v>
      </c>
      <c r="I14" s="36">
        <f ca="1">_xlfn.NUMBERVALUE(Table1[[#This Row],[Maturity Date]]-Table1[[#This Row],[TODAY]])</f>
        <v>187</v>
      </c>
      <c r="J14" s="28">
        <f t="shared" ca="1" si="1"/>
        <v>14</v>
      </c>
    </row>
    <row r="15" spans="1:10" ht="15.6" x14ac:dyDescent="0.3">
      <c r="A15" s="25">
        <v>15</v>
      </c>
      <c r="B15" s="25" t="s">
        <v>5</v>
      </c>
      <c r="C15" s="25">
        <v>100000</v>
      </c>
      <c r="D15" s="25">
        <v>5.75</v>
      </c>
      <c r="E15" s="26">
        <v>46330</v>
      </c>
      <c r="F15" s="26">
        <v>46026</v>
      </c>
      <c r="G15" s="27">
        <f t="shared" ca="1" si="0"/>
        <v>46110</v>
      </c>
      <c r="H15" s="28">
        <f ca="1">(_xlfn.NUMBERVALUE(Table1[[#This Row],[TODAY]]-Table1[[#This Row],[Created Date]])*Table1[[#This Row],[Intrest]]*Table1[[#This Row],[Invested]]/36500)+Table1[[#This Row],[Invested]]</f>
        <v>101323.28767123287</v>
      </c>
      <c r="I15" s="28">
        <f ca="1">_xlfn.NUMBERVALUE(Table1[[#This Row],[Maturity Date]]-Table1[[#This Row],[TODAY]])</f>
        <v>220</v>
      </c>
      <c r="J15" s="28">
        <f t="shared" ca="1" si="1"/>
        <v>33</v>
      </c>
    </row>
    <row r="16" spans="1:10" ht="15.6" x14ac:dyDescent="0.3">
      <c r="A16" s="25">
        <v>16</v>
      </c>
      <c r="B16" s="25" t="s">
        <v>5</v>
      </c>
      <c r="C16" s="25">
        <v>100000</v>
      </c>
      <c r="D16" s="25">
        <v>5.75</v>
      </c>
      <c r="E16" s="26">
        <v>46360</v>
      </c>
      <c r="F16" s="26">
        <v>46026</v>
      </c>
      <c r="G16" s="31">
        <f t="shared" ca="1" si="0"/>
        <v>46110</v>
      </c>
      <c r="H16" s="35">
        <f ca="1">(_xlfn.NUMBERVALUE(Table1[[#This Row],[TODAY]]-Table1[[#This Row],[Created Date]])*Table1[[#This Row],[Intrest]]*Table1[[#This Row],[Invested]]/36500)+Table1[[#This Row],[Invested]]</f>
        <v>101323.28767123287</v>
      </c>
      <c r="I16" s="35">
        <f ca="1">_xlfn.NUMBERVALUE(Table1[[#This Row],[Maturity Date]]-Table1[[#This Row],[TODAY]])</f>
        <v>250</v>
      </c>
      <c r="J16" s="28">
        <f t="shared" ca="1" si="1"/>
        <v>30</v>
      </c>
    </row>
    <row r="17" spans="1:10" ht="14.4" customHeight="1" x14ac:dyDescent="0.3">
      <c r="A17" s="25">
        <v>17</v>
      </c>
      <c r="B17" s="29" t="s">
        <v>113</v>
      </c>
      <c r="C17" s="25">
        <v>100000</v>
      </c>
      <c r="D17" s="25">
        <v>6.75</v>
      </c>
      <c r="E17" s="26">
        <v>46391</v>
      </c>
      <c r="F17" s="26">
        <v>46026</v>
      </c>
      <c r="G17" s="27">
        <f t="shared" ca="1" si="0"/>
        <v>46110</v>
      </c>
      <c r="H17" s="28">
        <f ca="1">(_xlfn.NUMBERVALUE(Table1[[#This Row],[TODAY]]-Table1[[#This Row],[Created Date]])*Table1[[#This Row],[Intrest]]*Table1[[#This Row],[Invested]]/36500)+Table1[[#This Row],[Invested]]</f>
        <v>101553.42465753424</v>
      </c>
      <c r="I17" s="35">
        <f ca="1">_xlfn.NUMBERVALUE(Table1[[#This Row],[Maturity Date]]-Table1[[#This Row],[TODAY]])</f>
        <v>281</v>
      </c>
      <c r="J17" s="28">
        <f t="shared" ca="1" si="1"/>
        <v>31</v>
      </c>
    </row>
    <row r="18" spans="1:10" ht="14.4" customHeight="1" x14ac:dyDescent="0.3">
      <c r="A18" s="25">
        <v>18</v>
      </c>
      <c r="B18" s="29" t="s">
        <v>113</v>
      </c>
      <c r="C18" s="25">
        <v>200000</v>
      </c>
      <c r="D18" s="25">
        <v>6.75</v>
      </c>
      <c r="E18" s="26">
        <v>46416</v>
      </c>
      <c r="F18" s="26">
        <v>46049</v>
      </c>
      <c r="G18" s="27">
        <f t="shared" ca="1" si="0"/>
        <v>46110</v>
      </c>
      <c r="H18" s="28">
        <f ca="1">(_xlfn.NUMBERVALUE(Table1[[#This Row],[TODAY]]-Table1[[#This Row],[Created Date]])*Table1[[#This Row],[Intrest]]*Table1[[#This Row],[Invested]]/36500)+Table1[[#This Row],[Invested]]</f>
        <v>202256.16438356164</v>
      </c>
      <c r="I18" s="28">
        <f ca="1">_xlfn.NUMBERVALUE(Table1[[#This Row],[Maturity Date]]-Table1[[#This Row],[TODAY]])</f>
        <v>306</v>
      </c>
      <c r="J18" s="28">
        <f t="shared" ca="1" si="1"/>
        <v>25</v>
      </c>
    </row>
    <row r="19" spans="1:10" ht="15.6" x14ac:dyDescent="0.3">
      <c r="A19" s="25">
        <v>19</v>
      </c>
      <c r="B19" s="29" t="s">
        <v>113</v>
      </c>
      <c r="C19" s="29">
        <v>100000</v>
      </c>
      <c r="D19" s="29">
        <v>6.75</v>
      </c>
      <c r="E19" s="26">
        <v>46422</v>
      </c>
      <c r="F19" s="26">
        <v>46026</v>
      </c>
      <c r="G19" s="27">
        <f t="shared" ca="1" si="0"/>
        <v>46110</v>
      </c>
      <c r="H19" s="28">
        <f ca="1">(_xlfn.NUMBERVALUE(Table1[[#This Row],[TODAY]]-Table1[[#This Row],[Created Date]])*Table1[[#This Row],[Intrest]]*Table1[[#This Row],[Invested]]/36500)+Table1[[#This Row],[Invested]]</f>
        <v>101553.42465753424</v>
      </c>
      <c r="I19" s="28">
        <f ca="1">_xlfn.NUMBERVALUE(Table1[[#This Row],[Maturity Date]]-Table1[[#This Row],[TODAY]])</f>
        <v>312</v>
      </c>
      <c r="J19" s="28">
        <f t="shared" ca="1" si="1"/>
        <v>6</v>
      </c>
    </row>
    <row r="20" spans="1:10" ht="18.600000000000001" customHeight="1" x14ac:dyDescent="0.3">
      <c r="A20" s="25">
        <v>20</v>
      </c>
      <c r="B20" s="25" t="s">
        <v>5</v>
      </c>
      <c r="C20" s="25">
        <v>200000</v>
      </c>
      <c r="D20" s="25">
        <v>6.25</v>
      </c>
      <c r="E20" s="26">
        <v>46436</v>
      </c>
      <c r="F20" s="26">
        <v>46026</v>
      </c>
      <c r="G20" s="34">
        <f t="shared" ca="1" si="0"/>
        <v>46110</v>
      </c>
      <c r="H20" s="36">
        <f ca="1">(_xlfn.NUMBERVALUE(Table1[[#This Row],[TODAY]]-Table1[[#This Row],[Created Date]])*Table1[[#This Row],[Intrest]]*Table1[[#This Row],[Invested]]/36500)+Table1[[#This Row],[Invested]]</f>
        <v>202876.71232876711</v>
      </c>
      <c r="I20" s="36">
        <f ca="1">_xlfn.NUMBERVALUE(Table1[[#This Row],[Maturity Date]]-Table1[[#This Row],[TODAY]])</f>
        <v>326</v>
      </c>
      <c r="J20" s="28">
        <f t="shared" ca="1" si="1"/>
        <v>14</v>
      </c>
    </row>
    <row r="21" spans="1:10" ht="15.6" x14ac:dyDescent="0.3">
      <c r="A21" s="25">
        <v>21</v>
      </c>
      <c r="B21" s="32" t="s">
        <v>5</v>
      </c>
      <c r="C21" s="32">
        <v>100000</v>
      </c>
      <c r="D21" s="32">
        <v>6.25</v>
      </c>
      <c r="E21" s="26">
        <v>46450</v>
      </c>
      <c r="F21" s="26">
        <v>46026</v>
      </c>
      <c r="G21" s="27">
        <f t="shared" ca="1" si="0"/>
        <v>46110</v>
      </c>
      <c r="H21" s="28">
        <f ca="1">(_xlfn.NUMBERVALUE(Table1[[#This Row],[TODAY]]-Table1[[#This Row],[Created Date]])*Table1[[#This Row],[Intrest]]*Table1[[#This Row],[Invested]]/36500)+Table1[[#This Row],[Invested]]</f>
        <v>101438.35616438356</v>
      </c>
      <c r="I21" s="35">
        <f ca="1">_xlfn.NUMBERVALUE(Table1[[#This Row],[Maturity Date]]-Table1[[#This Row],[TODAY]])</f>
        <v>340</v>
      </c>
      <c r="J21" s="28">
        <f t="shared" ca="1" si="1"/>
        <v>14</v>
      </c>
    </row>
    <row r="22" spans="1:10" ht="15.6" x14ac:dyDescent="0.3">
      <c r="A22" s="25">
        <v>22</v>
      </c>
      <c r="B22" s="37" t="s">
        <v>5</v>
      </c>
      <c r="C22" s="32">
        <v>150000</v>
      </c>
      <c r="D22" s="32">
        <v>6.25</v>
      </c>
      <c r="E22" s="26">
        <v>46465</v>
      </c>
      <c r="F22" s="26">
        <v>46057</v>
      </c>
      <c r="G22" s="27">
        <f t="shared" ca="1" si="0"/>
        <v>46110</v>
      </c>
      <c r="H22" s="28">
        <f ca="1">(_xlfn.NUMBERVALUE(Table1[[#This Row],[TODAY]]-Table1[[#This Row],[Created Date]])*Table1[[#This Row],[Intrest]]*Table1[[#This Row],[Invested]]/36500)+Table1[[#This Row],[Invested]]</f>
        <v>151361.30136986301</v>
      </c>
      <c r="I22" s="28">
        <f ca="1">_xlfn.NUMBERVALUE(Table1[[#This Row],[Maturity Date]]-Table1[[#This Row],[TODAY]])</f>
        <v>355</v>
      </c>
      <c r="J22" s="28">
        <f t="shared" ca="1" si="1"/>
        <v>15</v>
      </c>
    </row>
    <row r="23" spans="1:10" ht="15.6" x14ac:dyDescent="0.3">
      <c r="A23" s="25">
        <v>23</v>
      </c>
      <c r="B23" s="37" t="s">
        <v>5</v>
      </c>
      <c r="C23" s="32">
        <v>100000</v>
      </c>
      <c r="D23" s="32">
        <v>6.35</v>
      </c>
      <c r="E23" s="26">
        <v>46481</v>
      </c>
      <c r="F23" s="26">
        <v>46026</v>
      </c>
      <c r="G23" s="27">
        <f t="shared" ca="1" si="0"/>
        <v>46110</v>
      </c>
      <c r="H23" s="28">
        <f ca="1">(_xlfn.NUMBERVALUE(Table1[[#This Row],[TODAY]]-Table1[[#This Row],[Created Date]])*Table1[[#This Row],[Intrest]]*Table1[[#This Row],[Invested]]/36500)+Table1[[#This Row],[Invested]]</f>
        <v>101461.36986301369</v>
      </c>
      <c r="I23" s="35">
        <f ca="1">_xlfn.NUMBERVALUE(Table1[[#This Row],[Maturity Date]]-Table1[[#This Row],[TODAY]])</f>
        <v>371</v>
      </c>
      <c r="J23" s="28">
        <f t="shared" ca="1" si="1"/>
        <v>16</v>
      </c>
    </row>
    <row r="24" spans="1:10" ht="15.6" x14ac:dyDescent="0.3">
      <c r="A24" s="25">
        <v>24</v>
      </c>
      <c r="B24" s="22" t="s">
        <v>5</v>
      </c>
      <c r="C24" s="25">
        <v>150000</v>
      </c>
      <c r="D24" s="25">
        <v>6.25</v>
      </c>
      <c r="E24" s="26">
        <v>46495</v>
      </c>
      <c r="F24" s="26">
        <v>46056</v>
      </c>
      <c r="G24" s="27">
        <f t="shared" ca="1" si="0"/>
        <v>46110</v>
      </c>
      <c r="H24" s="28">
        <f ca="1">(_xlfn.NUMBERVALUE(Table1[[#This Row],[TODAY]]-Table1[[#This Row],[Created Date]])*Table1[[#This Row],[Intrest]]*Table1[[#This Row],[Invested]]/36500)+Table1[[#This Row],[Invested]]</f>
        <v>151386.98630136985</v>
      </c>
      <c r="I24" s="35">
        <f ca="1">_xlfn.NUMBERVALUE(Table1[[#This Row],[Maturity Date]]-Table1[[#This Row],[TODAY]])</f>
        <v>385</v>
      </c>
      <c r="J24" s="28">
        <f t="shared" ca="1" si="1"/>
        <v>14</v>
      </c>
    </row>
    <row r="25" spans="1:10" ht="15.6" x14ac:dyDescent="0.3">
      <c r="A25" s="25">
        <v>25</v>
      </c>
      <c r="B25" s="22" t="s">
        <v>5</v>
      </c>
      <c r="C25" s="25">
        <v>200000</v>
      </c>
      <c r="D25" s="25">
        <v>6.35</v>
      </c>
      <c r="E25" s="26">
        <v>46506</v>
      </c>
      <c r="F25" s="26">
        <v>46051</v>
      </c>
      <c r="G25" s="27">
        <f t="shared" ca="1" si="0"/>
        <v>46110</v>
      </c>
      <c r="H25" s="28">
        <f ca="1">(_xlfn.NUMBERVALUE(Table1[[#This Row],[TODAY]]-Table1[[#This Row],[Created Date]])*Table1[[#This Row],[Intrest]]*Table1[[#This Row],[Invested]]/36500)+Table1[[#This Row],[Invested]]</f>
        <v>202052.87671232875</v>
      </c>
      <c r="I25" s="35">
        <f ca="1">_xlfn.NUMBERVALUE(Table1[[#This Row],[Maturity Date]]-Table1[[#This Row],[TODAY]])</f>
        <v>396</v>
      </c>
      <c r="J25" s="28">
        <f t="shared" ca="1" si="1"/>
        <v>11</v>
      </c>
    </row>
    <row r="26" spans="1:10" ht="15.6" x14ac:dyDescent="0.3">
      <c r="A26" s="25">
        <v>26</v>
      </c>
      <c r="B26" s="22" t="s">
        <v>5</v>
      </c>
      <c r="C26" s="25">
        <v>200000</v>
      </c>
      <c r="D26" s="25">
        <v>6.35</v>
      </c>
      <c r="E26" s="26">
        <v>46521</v>
      </c>
      <c r="F26" s="26">
        <v>46051</v>
      </c>
      <c r="G26" s="27">
        <f t="shared" ca="1" si="0"/>
        <v>46110</v>
      </c>
      <c r="H26" s="28">
        <f ca="1">(_xlfn.NUMBERVALUE(Table1[[#This Row],[TODAY]]-Table1[[#This Row],[Created Date]])*Table1[[#This Row],[Intrest]]*Table1[[#This Row],[Invested]]/36500)+Table1[[#This Row],[Invested]]</f>
        <v>202052.87671232875</v>
      </c>
      <c r="I26" s="35">
        <f ca="1">_xlfn.NUMBERVALUE(Table1[[#This Row],[Maturity Date]]-Table1[[#This Row],[TODAY]])</f>
        <v>411</v>
      </c>
      <c r="J26" s="28">
        <f t="shared" ca="1" si="1"/>
        <v>15</v>
      </c>
    </row>
    <row r="27" spans="1:10" ht="15.6" x14ac:dyDescent="0.3">
      <c r="A27" s="25">
        <v>27</v>
      </c>
      <c r="B27" s="25" t="s">
        <v>129</v>
      </c>
      <c r="C27" s="25">
        <v>100000</v>
      </c>
      <c r="D27" s="25">
        <v>7</v>
      </c>
      <c r="E27" s="26">
        <v>46537</v>
      </c>
      <c r="F27" s="26">
        <v>45991</v>
      </c>
      <c r="G27" s="27">
        <f t="shared" ca="1" si="0"/>
        <v>46110</v>
      </c>
      <c r="H27" s="28">
        <f ca="1">(_xlfn.NUMBERVALUE(Table1[[#This Row],[TODAY]]-Table1[[#This Row],[Created Date]])*Table1[[#This Row],[Intrest]]*Table1[[#This Row],[Invested]]/36500)+Table1[[#This Row],[Invested]]</f>
        <v>102282.19178082192</v>
      </c>
      <c r="I27" s="35">
        <f ca="1">_xlfn.NUMBERVALUE(Table1[[#This Row],[Maturity Date]]-Table1[[#This Row],[TODAY]])</f>
        <v>427</v>
      </c>
      <c r="J27" s="28">
        <f t="shared" ca="1" si="1"/>
        <v>16</v>
      </c>
    </row>
    <row r="28" spans="1:10" ht="15.6" x14ac:dyDescent="0.3">
      <c r="A28" s="25">
        <v>28</v>
      </c>
      <c r="B28" s="25" t="s">
        <v>129</v>
      </c>
      <c r="C28" s="25">
        <v>100000</v>
      </c>
      <c r="D28" s="25">
        <v>7</v>
      </c>
      <c r="E28" s="26">
        <v>46558</v>
      </c>
      <c r="F28" s="26">
        <v>46011</v>
      </c>
      <c r="G28" s="27">
        <f t="shared" ca="1" si="0"/>
        <v>46110</v>
      </c>
      <c r="H28" s="28">
        <f ca="1">(_xlfn.NUMBERVALUE(Table1[[#This Row],[TODAY]]-Table1[[#This Row],[Created Date]])*Table1[[#This Row],[Intrest]]*Table1[[#This Row],[Invested]]/36500)+Table1[[#This Row],[Invested]]</f>
        <v>101898.63013698631</v>
      </c>
      <c r="I28" s="35">
        <f ca="1">_xlfn.NUMBERVALUE(Table1[[#This Row],[Maturity Date]]-Table1[[#This Row],[TODAY]])</f>
        <v>448</v>
      </c>
      <c r="J28" s="28">
        <f t="shared" ca="1" si="1"/>
        <v>21</v>
      </c>
    </row>
    <row r="29" spans="1:10" ht="15.6" x14ac:dyDescent="0.3">
      <c r="A29" s="25">
        <v>29</v>
      </c>
      <c r="B29" s="29" t="s">
        <v>113</v>
      </c>
      <c r="C29" s="25">
        <v>200000</v>
      </c>
      <c r="D29" s="25">
        <v>7</v>
      </c>
      <c r="E29" s="26">
        <v>46575</v>
      </c>
      <c r="F29" s="26">
        <v>46029</v>
      </c>
      <c r="G29" s="27">
        <f t="shared" ca="1" si="0"/>
        <v>46110</v>
      </c>
      <c r="H29" s="28">
        <f ca="1">(_xlfn.NUMBERVALUE(Table1[[#This Row],[TODAY]]-Table1[[#This Row],[Created Date]])*Table1[[#This Row],[Intrest]]*Table1[[#This Row],[Invested]]/36500)+Table1[[#This Row],[Invested]]</f>
        <v>203106.84931506848</v>
      </c>
      <c r="I29" s="35">
        <f ca="1">_xlfn.NUMBERVALUE(Table1[[#This Row],[Maturity Date]]-Table1[[#This Row],[TODAY]])</f>
        <v>465</v>
      </c>
      <c r="J29" s="28">
        <f t="shared" ca="1" si="1"/>
        <v>17</v>
      </c>
    </row>
    <row r="30" spans="1:10" ht="15.6" x14ac:dyDescent="0.3">
      <c r="A30" s="25">
        <v>30</v>
      </c>
      <c r="B30" s="25" t="s">
        <v>113</v>
      </c>
      <c r="C30" s="25">
        <v>200000</v>
      </c>
      <c r="D30" s="25">
        <v>7</v>
      </c>
      <c r="E30" s="26">
        <v>46586</v>
      </c>
      <c r="F30" s="26">
        <v>46040</v>
      </c>
      <c r="G30" s="27">
        <f t="shared" ca="1" si="0"/>
        <v>46110</v>
      </c>
      <c r="H30" s="28">
        <f ca="1">(_xlfn.NUMBERVALUE(Table1[[#This Row],[TODAY]]-Table1[[#This Row],[Created Date]])*Table1[[#This Row],[Intrest]]*Table1[[#This Row],[Invested]]/36500)+Table1[[#This Row],[Invested]]</f>
        <v>202684.9315068493</v>
      </c>
      <c r="I30" s="28">
        <f ca="1">_xlfn.NUMBERVALUE(Table1[[#This Row],[Maturity Date]]-Table1[[#This Row],[TODAY]])</f>
        <v>476</v>
      </c>
      <c r="J30" s="28">
        <f t="shared" ca="1" si="1"/>
        <v>11</v>
      </c>
    </row>
    <row r="31" spans="1:10" ht="15.6" x14ac:dyDescent="0.3">
      <c r="A31" s="25">
        <v>31</v>
      </c>
      <c r="B31" s="29" t="s">
        <v>113</v>
      </c>
      <c r="C31" s="25">
        <v>100000</v>
      </c>
      <c r="D31" s="25">
        <v>7</v>
      </c>
      <c r="E31" s="26">
        <v>46587</v>
      </c>
      <c r="F31" s="26">
        <v>46041</v>
      </c>
      <c r="G31" s="27">
        <f t="shared" ca="1" si="0"/>
        <v>46110</v>
      </c>
      <c r="H31" s="28">
        <f ca="1">(_xlfn.NUMBERVALUE(Table1[[#This Row],[TODAY]]-Table1[[#This Row],[Created Date]])*Table1[[#This Row],[Intrest]]*Table1[[#This Row],[Invested]]/36500)+Table1[[#This Row],[Invested]]</f>
        <v>101323.28767123287</v>
      </c>
      <c r="I31" s="28">
        <f ca="1">_xlfn.NUMBERVALUE(Table1[[#This Row],[Maturity Date]]-Table1[[#This Row],[TODAY]])</f>
        <v>477</v>
      </c>
      <c r="J31" s="28">
        <f t="shared" ca="1" si="1"/>
        <v>1</v>
      </c>
    </row>
    <row r="32" spans="1:10" ht="15.6" x14ac:dyDescent="0.3">
      <c r="A32" s="25">
        <v>32</v>
      </c>
      <c r="B32" s="29" t="s">
        <v>113</v>
      </c>
      <c r="C32" s="25">
        <v>100000</v>
      </c>
      <c r="D32" s="25">
        <v>7</v>
      </c>
      <c r="E32" s="26">
        <v>46595</v>
      </c>
      <c r="F32" s="26">
        <v>46049</v>
      </c>
      <c r="G32" s="27">
        <f t="shared" ca="1" si="0"/>
        <v>46110</v>
      </c>
      <c r="H32" s="28">
        <f ca="1">(_xlfn.NUMBERVALUE(Table1[[#This Row],[TODAY]]-Table1[[#This Row],[Created Date]])*Table1[[#This Row],[Intrest]]*Table1[[#This Row],[Invested]]/36500)+Table1[[#This Row],[Invested]]</f>
        <v>101169.86301369863</v>
      </c>
      <c r="I32" s="28">
        <f ca="1">_xlfn.NUMBERVALUE(Table1[[#This Row],[Maturity Date]]-Table1[[#This Row],[TODAY]])</f>
        <v>485</v>
      </c>
      <c r="J32" s="28">
        <f t="shared" ca="1" si="1"/>
        <v>8</v>
      </c>
    </row>
    <row r="33" spans="1:10" ht="15.6" x14ac:dyDescent="0.3">
      <c r="A33" s="25">
        <v>33</v>
      </c>
      <c r="B33" s="29" t="s">
        <v>113</v>
      </c>
      <c r="C33" s="25">
        <v>200000</v>
      </c>
      <c r="D33" s="25">
        <v>7</v>
      </c>
      <c r="E33" s="26">
        <v>46597</v>
      </c>
      <c r="F33" s="26">
        <v>46041</v>
      </c>
      <c r="G33" s="27">
        <f t="shared" ca="1" si="0"/>
        <v>46110</v>
      </c>
      <c r="H33" s="28">
        <f ca="1">(_xlfn.NUMBERVALUE(Table1[[#This Row],[TODAY]]-Table1[[#This Row],[Created Date]])*Table1[[#This Row],[Intrest]]*Table1[[#This Row],[Invested]]/36500)+Table1[[#This Row],[Invested]]</f>
        <v>202646.57534246575</v>
      </c>
      <c r="I33" s="28">
        <f ca="1">_xlfn.NUMBERVALUE(Table1[[#This Row],[Maturity Date]]-Table1[[#This Row],[TODAY]])</f>
        <v>487</v>
      </c>
      <c r="J33" s="28">
        <f t="shared" ca="1" si="1"/>
        <v>2</v>
      </c>
    </row>
    <row r="34" spans="1:10" ht="15.6" x14ac:dyDescent="0.3">
      <c r="A34" s="25">
        <v>34</v>
      </c>
      <c r="B34" s="29" t="s">
        <v>113</v>
      </c>
      <c r="C34" s="25">
        <v>100000</v>
      </c>
      <c r="D34" s="25">
        <v>7</v>
      </c>
      <c r="E34" s="26">
        <v>46602</v>
      </c>
      <c r="F34" s="26">
        <v>46056</v>
      </c>
      <c r="G34" s="27">
        <f t="shared" ca="1" si="0"/>
        <v>46110</v>
      </c>
      <c r="H34" s="28">
        <f ca="1">(_xlfn.NUMBERVALUE(Table1[[#This Row],[TODAY]]-Table1[[#This Row],[Created Date]])*Table1[[#This Row],[Intrest]]*Table1[[#This Row],[Invested]]/36500)+Table1[[#This Row],[Invested]]</f>
        <v>101035.61643835617</v>
      </c>
      <c r="I34" s="28">
        <f ca="1">_xlfn.NUMBERVALUE(Table1[[#This Row],[Maturity Date]]-Table1[[#This Row],[TODAY]])</f>
        <v>492</v>
      </c>
      <c r="J34" s="28">
        <f t="shared" ca="1" si="1"/>
        <v>5</v>
      </c>
    </row>
    <row r="35" spans="1:10" ht="15.6" x14ac:dyDescent="0.3">
      <c r="A35" s="25">
        <v>35</v>
      </c>
      <c r="B35" s="25" t="s">
        <v>113</v>
      </c>
      <c r="C35" s="25">
        <v>50000</v>
      </c>
      <c r="D35" s="25">
        <v>7</v>
      </c>
      <c r="E35" s="26">
        <v>46603</v>
      </c>
      <c r="F35" s="26">
        <v>46057</v>
      </c>
      <c r="G35" s="27">
        <f t="shared" ca="1" si="0"/>
        <v>46110</v>
      </c>
      <c r="H35" s="28">
        <f ca="1">(_xlfn.NUMBERVALUE(Table1[[#This Row],[TODAY]]-Table1[[#This Row],[Created Date]])*Table1[[#This Row],[Intrest]]*Table1[[#This Row],[Invested]]/36500)+Table1[[#This Row],[Invested]]</f>
        <v>50508.219178082189</v>
      </c>
      <c r="I35" s="28">
        <f ca="1">_xlfn.NUMBERVALUE(Table1[[#This Row],[Maturity Date]]-Table1[[#This Row],[TODAY]])</f>
        <v>493</v>
      </c>
      <c r="J35" s="28">
        <f t="shared" ca="1" si="1"/>
        <v>1</v>
      </c>
    </row>
    <row r="36" spans="1:10" ht="15.6" x14ac:dyDescent="0.3">
      <c r="A36" s="25">
        <v>36</v>
      </c>
      <c r="B36" s="25" t="s">
        <v>5</v>
      </c>
      <c r="C36" s="25">
        <v>200000</v>
      </c>
      <c r="D36" s="25">
        <v>6.45</v>
      </c>
      <c r="E36" s="26">
        <v>46608</v>
      </c>
      <c r="F36" s="26">
        <v>45697</v>
      </c>
      <c r="G36" s="27">
        <f t="shared" ca="1" si="0"/>
        <v>46110</v>
      </c>
      <c r="H36" s="28">
        <f ca="1">(_xlfn.NUMBERVALUE(Table1[[#This Row],[TODAY]]-Table1[[#This Row],[Created Date]])*Table1[[#This Row],[Intrest]]*Table1[[#This Row],[Invested]]/36500)+Table1[[#This Row],[Invested]]</f>
        <v>214596.43835616438</v>
      </c>
      <c r="I36" s="28">
        <f ca="1">_xlfn.NUMBERVALUE(Table1[[#This Row],[Maturity Date]]-Table1[[#This Row],[TODAY]])</f>
        <v>498</v>
      </c>
      <c r="J36" s="28">
        <f t="shared" ca="1" si="1"/>
        <v>5</v>
      </c>
    </row>
    <row r="37" spans="1:10" ht="15.6" x14ac:dyDescent="0.3">
      <c r="A37" s="25">
        <v>37</v>
      </c>
      <c r="B37" s="25" t="s">
        <v>5</v>
      </c>
      <c r="C37" s="25">
        <v>150000</v>
      </c>
      <c r="D37" s="25">
        <v>6.45</v>
      </c>
      <c r="E37" s="26">
        <v>46612</v>
      </c>
      <c r="F37" s="26">
        <v>46065</v>
      </c>
      <c r="G37" s="27">
        <f t="shared" ca="1" si="0"/>
        <v>46110</v>
      </c>
      <c r="H37" s="28">
        <f ca="1">(_xlfn.NUMBERVALUE(Table1[[#This Row],[TODAY]]-Table1[[#This Row],[Created Date]])*Table1[[#This Row],[Intrest]]*Table1[[#This Row],[Invested]]/36500)+Table1[[#This Row],[Invested]]</f>
        <v>151192.80821917808</v>
      </c>
      <c r="I37" s="28">
        <f ca="1">_xlfn.NUMBERVALUE(Table1[[#This Row],[Maturity Date]]-Table1[[#This Row],[TODAY]])</f>
        <v>502</v>
      </c>
      <c r="J37" s="28">
        <f t="shared" ca="1" si="1"/>
        <v>4</v>
      </c>
    </row>
    <row r="38" spans="1:10" ht="15.6" x14ac:dyDescent="0.3">
      <c r="A38" s="25">
        <v>38</v>
      </c>
      <c r="B38" s="25" t="s">
        <v>5</v>
      </c>
      <c r="C38" s="25">
        <v>200000</v>
      </c>
      <c r="D38" s="25">
        <v>6.45</v>
      </c>
      <c r="E38" s="26">
        <v>46639</v>
      </c>
      <c r="F38" s="26">
        <v>45725</v>
      </c>
      <c r="G38" s="27">
        <f t="shared" ca="1" si="0"/>
        <v>46110</v>
      </c>
      <c r="H38" s="38">
        <f ca="1">(_xlfn.NUMBERVALUE(Table1[[#This Row],[TODAY]]-Table1[[#This Row],[Created Date]])*Table1[[#This Row],[Intrest]]*Table1[[#This Row],[Invested]]/36500)+Table1[[#This Row],[Invested]]</f>
        <v>213606.84931506848</v>
      </c>
      <c r="I38" s="38">
        <f ca="1">_xlfn.NUMBERVALUE(Table1[[#This Row],[Maturity Date]]-Table1[[#This Row],[TODAY]])</f>
        <v>529</v>
      </c>
      <c r="J38" s="38">
        <f t="shared" ca="1" si="1"/>
        <v>27</v>
      </c>
    </row>
    <row r="39" spans="1:10" ht="15.6" x14ac:dyDescent="0.3">
      <c r="A39" s="25">
        <v>39</v>
      </c>
      <c r="B39" s="25" t="s">
        <v>5</v>
      </c>
      <c r="C39" s="25">
        <v>55992.2</v>
      </c>
      <c r="D39" s="25">
        <v>6.45</v>
      </c>
      <c r="E39" s="26">
        <v>46660</v>
      </c>
      <c r="F39" s="26">
        <v>46023</v>
      </c>
      <c r="G39" s="27">
        <f t="shared" ca="1" si="0"/>
        <v>46110</v>
      </c>
      <c r="H39" s="38">
        <f ca="1">(_xlfn.NUMBERVALUE(Table1[[#This Row],[TODAY]]-Table1[[#This Row],[Created Date]])*Table1[[#This Row],[Intrest]]*Table1[[#This Row],[Invested]]/36500)+Table1[[#This Row],[Invested]]</f>
        <v>56853.02254876712</v>
      </c>
      <c r="I39" s="38">
        <f ca="1">_xlfn.NUMBERVALUE(Table1[[#This Row],[Maturity Date]]-Table1[[#This Row],[TODAY]])</f>
        <v>550</v>
      </c>
      <c r="J39" s="38">
        <f t="shared" ca="1" si="1"/>
        <v>21</v>
      </c>
    </row>
    <row r="40" spans="1:10" x14ac:dyDescent="0.3">
      <c r="C40">
        <f>SUM(Table1[Invested])</f>
        <v>4734240.2</v>
      </c>
      <c r="H40">
        <f ca="1">SUM(Table1[Current_amount])</f>
        <v>4896522.9062747946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ADB32-426B-4488-852E-E79D036F4661}">
  <dimension ref="A1:E31"/>
  <sheetViews>
    <sheetView topLeftCell="A10" workbookViewId="0">
      <selection activeCell="E36" sqref="E36"/>
    </sheetView>
  </sheetViews>
  <sheetFormatPr defaultRowHeight="14.4" x14ac:dyDescent="0.3"/>
  <cols>
    <col min="2" max="2" width="9.21875" customWidth="1"/>
    <col min="3" max="3" width="14.33203125" customWidth="1"/>
    <col min="4" max="4" width="21.109375" customWidth="1"/>
    <col min="5" max="5" width="18.33203125" customWidth="1"/>
  </cols>
  <sheetData>
    <row r="1" spans="1:5" x14ac:dyDescent="0.3">
      <c r="A1" s="1" t="s">
        <v>21</v>
      </c>
      <c r="B1" s="10" t="s">
        <v>22</v>
      </c>
      <c r="C1" s="10" t="s">
        <v>42</v>
      </c>
      <c r="D1" s="10" t="s">
        <v>43</v>
      </c>
      <c r="E1" s="10" t="s">
        <v>44</v>
      </c>
    </row>
    <row r="2" spans="1:5" x14ac:dyDescent="0.3">
      <c r="A2" s="1"/>
      <c r="B2" s="2" t="s">
        <v>23</v>
      </c>
      <c r="C2" s="3">
        <v>194.095</v>
      </c>
      <c r="D2" s="3">
        <v>283.2</v>
      </c>
      <c r="E2" s="3">
        <v>20</v>
      </c>
    </row>
    <row r="3" spans="1:5" ht="28.8" x14ac:dyDescent="0.3">
      <c r="A3" s="1"/>
      <c r="B3" s="2" t="s">
        <v>24</v>
      </c>
      <c r="C3" s="3">
        <v>1345.37</v>
      </c>
      <c r="D3" s="3">
        <v>1425.8</v>
      </c>
      <c r="E3" s="3">
        <v>5</v>
      </c>
    </row>
    <row r="4" spans="1:5" x14ac:dyDescent="0.3">
      <c r="A4" s="1"/>
      <c r="B4" s="2" t="s">
        <v>25</v>
      </c>
      <c r="C4" s="3">
        <v>232.89439999999999</v>
      </c>
      <c r="D4" s="3">
        <v>285.5</v>
      </c>
      <c r="E4" s="3">
        <v>18</v>
      </c>
    </row>
    <row r="5" spans="1:5" ht="28.8" x14ac:dyDescent="0.3">
      <c r="A5" s="1"/>
      <c r="B5" s="2" t="s">
        <v>26</v>
      </c>
      <c r="C5" s="3">
        <v>1422.6333</v>
      </c>
      <c r="D5" s="3">
        <v>1476.5</v>
      </c>
      <c r="E5" s="3">
        <v>3</v>
      </c>
    </row>
    <row r="6" spans="1:5" x14ac:dyDescent="0.3">
      <c r="A6" s="1"/>
      <c r="B6" s="2" t="s">
        <v>27</v>
      </c>
      <c r="C6" s="3">
        <v>767.93330000000003</v>
      </c>
      <c r="D6" s="3">
        <v>821.35</v>
      </c>
      <c r="E6" s="3">
        <v>6</v>
      </c>
    </row>
    <row r="7" spans="1:5" x14ac:dyDescent="0.3">
      <c r="A7" s="1"/>
      <c r="B7" s="2" t="s">
        <v>28</v>
      </c>
      <c r="C7" s="3">
        <v>1471.4</v>
      </c>
      <c r="D7" s="3">
        <v>1431.5</v>
      </c>
      <c r="E7" s="3">
        <v>3</v>
      </c>
    </row>
    <row r="8" spans="1:5" ht="28.8" x14ac:dyDescent="0.3">
      <c r="A8" s="1"/>
      <c r="B8" s="2" t="s">
        <v>29</v>
      </c>
      <c r="C8" s="3">
        <v>80.565700000000007</v>
      </c>
      <c r="D8" s="3">
        <v>77.7</v>
      </c>
      <c r="E8" s="3">
        <v>67</v>
      </c>
    </row>
    <row r="9" spans="1:5" x14ac:dyDescent="0.3">
      <c r="A9" s="1"/>
      <c r="B9" s="2" t="s">
        <v>30</v>
      </c>
      <c r="C9" s="3">
        <v>3469.2750000000001</v>
      </c>
      <c r="D9" s="3">
        <v>3532.9</v>
      </c>
      <c r="E9" s="3">
        <v>2</v>
      </c>
    </row>
    <row r="10" spans="1:5" ht="28.8" x14ac:dyDescent="0.3">
      <c r="A10" s="1"/>
      <c r="B10" s="2" t="s">
        <v>31</v>
      </c>
      <c r="C10" s="3">
        <v>1178.2049999999999</v>
      </c>
      <c r="D10" s="3">
        <v>1228</v>
      </c>
      <c r="E10" s="3">
        <v>10</v>
      </c>
    </row>
    <row r="11" spans="1:5" x14ac:dyDescent="0.3">
      <c r="A11" s="1"/>
      <c r="B11" s="2" t="s">
        <v>32</v>
      </c>
      <c r="C11" s="3">
        <v>119.3181</v>
      </c>
      <c r="D11" s="3">
        <v>144.1</v>
      </c>
      <c r="E11" s="3">
        <v>36</v>
      </c>
    </row>
    <row r="12" spans="1:5" x14ac:dyDescent="0.3">
      <c r="A12" s="1"/>
      <c r="B12" s="2" t="s">
        <v>33</v>
      </c>
      <c r="C12" s="3">
        <v>428.88330000000002</v>
      </c>
      <c r="D12" s="3">
        <v>615.15</v>
      </c>
      <c r="E12" s="3">
        <v>6</v>
      </c>
    </row>
    <row r="13" spans="1:5" x14ac:dyDescent="0.3">
      <c r="A13" s="1"/>
      <c r="B13" s="2" t="s">
        <v>34</v>
      </c>
      <c r="C13" s="3">
        <v>368.85789999999997</v>
      </c>
      <c r="D13" s="3">
        <v>381.3</v>
      </c>
      <c r="E13" s="3">
        <v>19</v>
      </c>
    </row>
    <row r="14" spans="1:5" x14ac:dyDescent="0.3">
      <c r="A14" s="1"/>
      <c r="B14" s="2" t="s">
        <v>35</v>
      </c>
      <c r="C14" s="3">
        <v>877.27</v>
      </c>
      <c r="D14" s="3">
        <v>818.05</v>
      </c>
      <c r="E14" s="3">
        <v>5</v>
      </c>
    </row>
    <row r="15" spans="1:5" x14ac:dyDescent="0.3">
      <c r="A15" s="1"/>
      <c r="B15" s="2" t="s">
        <v>36</v>
      </c>
      <c r="C15" s="3">
        <v>414.77269999999999</v>
      </c>
      <c r="D15" s="3">
        <v>483.6</v>
      </c>
      <c r="E15" s="3">
        <v>11</v>
      </c>
    </row>
    <row r="16" spans="1:5" ht="28.8" x14ac:dyDescent="0.3">
      <c r="A16" s="1"/>
      <c r="B16" s="2" t="s">
        <v>37</v>
      </c>
      <c r="C16" s="3">
        <v>301.02140000000003</v>
      </c>
      <c r="D16" s="3">
        <v>309.35000000000002</v>
      </c>
      <c r="E16" s="3">
        <v>21</v>
      </c>
    </row>
    <row r="17" spans="1:5" x14ac:dyDescent="0.3">
      <c r="A17" s="1"/>
      <c r="B17" s="2" t="s">
        <v>38</v>
      </c>
      <c r="C17" s="3">
        <v>1159.7625</v>
      </c>
      <c r="D17" s="3">
        <v>1761</v>
      </c>
      <c r="E17" s="3">
        <v>4</v>
      </c>
    </row>
    <row r="18" spans="1:5" ht="28.8" x14ac:dyDescent="0.3">
      <c r="A18" s="1"/>
      <c r="B18" s="2" t="s">
        <v>39</v>
      </c>
      <c r="C18" s="3">
        <v>408.71879999999999</v>
      </c>
      <c r="D18" s="3">
        <v>438.55</v>
      </c>
      <c r="E18" s="3">
        <v>8</v>
      </c>
    </row>
    <row r="19" spans="1:5" x14ac:dyDescent="0.3">
      <c r="A19" s="1"/>
      <c r="B19" s="2" t="s">
        <v>40</v>
      </c>
      <c r="C19" s="3">
        <v>776.23329999999999</v>
      </c>
      <c r="D19" s="3">
        <v>829.95</v>
      </c>
      <c r="E19" s="3">
        <v>6</v>
      </c>
    </row>
    <row r="20" spans="1:5" x14ac:dyDescent="0.3">
      <c r="A20" s="1"/>
      <c r="B20" s="2" t="s">
        <v>41</v>
      </c>
      <c r="C20" s="3">
        <v>143.35470000000001</v>
      </c>
      <c r="D20" s="3">
        <v>184.05</v>
      </c>
      <c r="E20" s="3">
        <v>32</v>
      </c>
    </row>
    <row r="23" spans="1:5" x14ac:dyDescent="0.3">
      <c r="C23" s="6" t="s">
        <v>45</v>
      </c>
      <c r="D23" s="4"/>
    </row>
    <row r="25" spans="1:5" x14ac:dyDescent="0.3">
      <c r="C25" s="6" t="s">
        <v>46</v>
      </c>
      <c r="D25" s="4"/>
    </row>
    <row r="27" spans="1:5" x14ac:dyDescent="0.3">
      <c r="C27" s="4" t="s">
        <v>47</v>
      </c>
      <c r="D27" s="11">
        <v>277346.95</v>
      </c>
    </row>
    <row r="28" spans="1:5" x14ac:dyDescent="0.3">
      <c r="C28" s="4" t="s">
        <v>48</v>
      </c>
      <c r="D28" s="11">
        <v>284127.21000000002</v>
      </c>
    </row>
    <row r="29" spans="1:5" x14ac:dyDescent="0.3">
      <c r="C29" s="4" t="s">
        <v>49</v>
      </c>
      <c r="D29" s="5">
        <v>100898.41</v>
      </c>
    </row>
    <row r="30" spans="1:5" x14ac:dyDescent="0.3">
      <c r="C30" s="4" t="s">
        <v>50</v>
      </c>
      <c r="D30" s="5">
        <v>17.87</v>
      </c>
    </row>
    <row r="31" spans="1:5" x14ac:dyDescent="0.3">
      <c r="C31" s="4" t="s">
        <v>51</v>
      </c>
      <c r="D31" s="5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58B65-2BB0-4B0D-A041-32E6292F76F3}">
  <dimension ref="A1:G12"/>
  <sheetViews>
    <sheetView topLeftCell="B1" workbookViewId="0">
      <selection activeCell="F12" sqref="F12"/>
    </sheetView>
  </sheetViews>
  <sheetFormatPr defaultRowHeight="14.4" x14ac:dyDescent="0.3"/>
  <cols>
    <col min="2" max="2" width="12.5546875" customWidth="1"/>
    <col min="3" max="3" width="10" customWidth="1"/>
    <col min="4" max="4" width="10.77734375" customWidth="1"/>
    <col min="5" max="5" width="10.5546875" bestFit="1" customWidth="1"/>
    <col min="6" max="6" width="10.5546875" customWidth="1"/>
  </cols>
  <sheetData>
    <row r="1" spans="1:7" x14ac:dyDescent="0.3">
      <c r="A1" s="1" t="s">
        <v>8</v>
      </c>
      <c r="B1" s="1" t="s">
        <v>9</v>
      </c>
      <c r="C1" s="1" t="s">
        <v>10</v>
      </c>
      <c r="D1" s="1" t="s">
        <v>12</v>
      </c>
      <c r="E1" s="1" t="s">
        <v>68</v>
      </c>
      <c r="F1" s="1" t="s">
        <v>3</v>
      </c>
      <c r="G1" s="1"/>
    </row>
    <row r="2" spans="1:7" ht="28.8" x14ac:dyDescent="0.3">
      <c r="A2" s="1">
        <v>1</v>
      </c>
      <c r="B2" s="1" t="s">
        <v>11</v>
      </c>
      <c r="C2" s="1">
        <v>31998</v>
      </c>
      <c r="D2" s="1">
        <v>27.8</v>
      </c>
      <c r="E2" s="1">
        <v>3000</v>
      </c>
      <c r="F2" s="1">
        <f>C2+C2*D2/100</f>
        <v>40893.444000000003</v>
      </c>
      <c r="G2" s="1"/>
    </row>
    <row r="3" spans="1:7" ht="43.2" x14ac:dyDescent="0.3">
      <c r="A3" s="1">
        <v>2</v>
      </c>
      <c r="B3" s="1" t="s">
        <v>13</v>
      </c>
      <c r="C3" s="1">
        <v>32997</v>
      </c>
      <c r="D3" s="1">
        <v>18.600000000000001</v>
      </c>
      <c r="E3" s="1">
        <v>3000</v>
      </c>
      <c r="F3" s="1">
        <f t="shared" ref="F3:F9" si="0">C3+C3*D3/100</f>
        <v>39134.442000000003</v>
      </c>
      <c r="G3" s="1"/>
    </row>
    <row r="4" spans="1:7" ht="28.8" x14ac:dyDescent="0.3">
      <c r="A4" s="1">
        <v>3</v>
      </c>
      <c r="B4" s="1" t="s">
        <v>14</v>
      </c>
      <c r="C4" s="1">
        <v>27053</v>
      </c>
      <c r="D4" s="1">
        <v>19.3</v>
      </c>
      <c r="E4" s="1">
        <v>3000</v>
      </c>
      <c r="F4" s="1">
        <f t="shared" si="0"/>
        <v>32274.228999999999</v>
      </c>
      <c r="G4" s="1"/>
    </row>
    <row r="5" spans="1:7" ht="43.2" x14ac:dyDescent="0.3">
      <c r="A5" s="1">
        <v>4</v>
      </c>
      <c r="B5" s="1" t="s">
        <v>110</v>
      </c>
      <c r="C5" s="1">
        <v>25999</v>
      </c>
      <c r="D5" s="1">
        <v>24.3</v>
      </c>
      <c r="E5" s="1">
        <v>2000</v>
      </c>
      <c r="F5" s="1">
        <f t="shared" si="0"/>
        <v>32316.757000000001</v>
      </c>
      <c r="G5" s="1"/>
    </row>
    <row r="6" spans="1:7" ht="28.8" x14ac:dyDescent="0.3">
      <c r="A6" s="1">
        <v>5</v>
      </c>
      <c r="B6" s="1" t="s">
        <v>15</v>
      </c>
      <c r="C6" s="1">
        <v>25999</v>
      </c>
      <c r="D6" s="1">
        <v>16.8</v>
      </c>
      <c r="E6" s="1">
        <v>2000</v>
      </c>
      <c r="F6" s="1">
        <f t="shared" si="0"/>
        <v>30366.832000000002</v>
      </c>
      <c r="G6" s="1"/>
    </row>
    <row r="7" spans="1:7" ht="43.2" x14ac:dyDescent="0.3">
      <c r="A7" s="1">
        <v>6</v>
      </c>
      <c r="B7" s="1" t="s">
        <v>16</v>
      </c>
      <c r="C7" s="1">
        <v>25999</v>
      </c>
      <c r="D7" s="1">
        <v>20.9</v>
      </c>
      <c r="E7" s="1">
        <v>2000</v>
      </c>
      <c r="F7" s="1">
        <f t="shared" si="0"/>
        <v>31432.791000000001</v>
      </c>
      <c r="G7" s="1"/>
    </row>
    <row r="8" spans="1:7" ht="28.8" x14ac:dyDescent="0.3">
      <c r="A8" s="1">
        <v>7</v>
      </c>
      <c r="B8" s="1" t="s">
        <v>17</v>
      </c>
      <c r="C8" s="1">
        <v>24999</v>
      </c>
      <c r="D8" s="1">
        <v>28.9</v>
      </c>
      <c r="E8" s="1">
        <v>3000</v>
      </c>
      <c r="F8" s="1">
        <f t="shared" si="0"/>
        <v>32223.710999999999</v>
      </c>
      <c r="G8" s="1"/>
    </row>
    <row r="9" spans="1:7" ht="57.6" x14ac:dyDescent="0.3">
      <c r="A9" s="1">
        <v>8</v>
      </c>
      <c r="B9" s="1" t="s">
        <v>18</v>
      </c>
      <c r="C9" s="1">
        <v>11999</v>
      </c>
      <c r="D9" s="1">
        <v>21.4</v>
      </c>
      <c r="E9" s="1">
        <v>2000</v>
      </c>
      <c r="F9" s="1">
        <f t="shared" si="0"/>
        <v>14566.786</v>
      </c>
      <c r="G9" s="1"/>
    </row>
    <row r="10" spans="1:7" x14ac:dyDescent="0.3">
      <c r="C10">
        <f>SUM(C2:C9)</f>
        <v>207043</v>
      </c>
      <c r="E10">
        <f>SUM(E2:E9)</f>
        <v>20000</v>
      </c>
      <c r="F10">
        <f>SUM(F2:F9)</f>
        <v>253208.992</v>
      </c>
    </row>
    <row r="12" spans="1:7" ht="18" thickBot="1" x14ac:dyDescent="0.35">
      <c r="C12" s="11">
        <v>643021</v>
      </c>
      <c r="E12">
        <v>20000</v>
      </c>
      <c r="F12" s="11">
        <v>663706</v>
      </c>
      <c r="G12" s="1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652C-C988-481F-9F60-59C9E65324B0}">
  <dimension ref="A1:C12"/>
  <sheetViews>
    <sheetView workbookViewId="0">
      <selection activeCell="C39" sqref="C38:C39"/>
    </sheetView>
  </sheetViews>
  <sheetFormatPr defaultRowHeight="14.4" x14ac:dyDescent="0.3"/>
  <sheetData>
    <row r="1" spans="1:3" x14ac:dyDescent="0.3">
      <c r="A1" t="s">
        <v>21</v>
      </c>
      <c r="B1" t="s">
        <v>80</v>
      </c>
      <c r="C1" t="s">
        <v>52</v>
      </c>
    </row>
    <row r="2" spans="1:3" x14ac:dyDescent="0.3">
      <c r="A2">
        <v>1</v>
      </c>
      <c r="B2" t="s">
        <v>100</v>
      </c>
      <c r="C2">
        <v>1300</v>
      </c>
    </row>
    <row r="3" spans="1:3" x14ac:dyDescent="0.3">
      <c r="A3">
        <v>2</v>
      </c>
      <c r="B3" t="s">
        <v>101</v>
      </c>
      <c r="C3">
        <v>5000</v>
      </c>
    </row>
    <row r="4" spans="1:3" x14ac:dyDescent="0.3">
      <c r="A4">
        <v>3</v>
      </c>
      <c r="B4" t="s">
        <v>102</v>
      </c>
      <c r="C4">
        <v>1000</v>
      </c>
    </row>
    <row r="5" spans="1:3" x14ac:dyDescent="0.3">
      <c r="A5">
        <v>4</v>
      </c>
      <c r="B5" t="s">
        <v>103</v>
      </c>
      <c r="C5">
        <v>750</v>
      </c>
    </row>
    <row r="6" spans="1:3" x14ac:dyDescent="0.3">
      <c r="A6">
        <v>5</v>
      </c>
      <c r="B6" t="s">
        <v>104</v>
      </c>
      <c r="C6">
        <v>2000</v>
      </c>
    </row>
    <row r="7" spans="1:3" x14ac:dyDescent="0.3">
      <c r="A7">
        <v>6</v>
      </c>
      <c r="B7" t="s">
        <v>105</v>
      </c>
      <c r="C7">
        <v>855</v>
      </c>
    </row>
    <row r="8" spans="1:3" x14ac:dyDescent="0.3">
      <c r="A8">
        <v>7</v>
      </c>
      <c r="B8" t="s">
        <v>106</v>
      </c>
      <c r="C8">
        <v>1000</v>
      </c>
    </row>
    <row r="9" spans="1:3" x14ac:dyDescent="0.3">
      <c r="A9">
        <v>8</v>
      </c>
      <c r="B9" t="s">
        <v>107</v>
      </c>
      <c r="C9">
        <v>750</v>
      </c>
    </row>
    <row r="10" spans="1:3" x14ac:dyDescent="0.3">
      <c r="A10">
        <v>9</v>
      </c>
      <c r="B10" t="s">
        <v>108</v>
      </c>
      <c r="C10">
        <v>200</v>
      </c>
    </row>
    <row r="11" spans="1:3" x14ac:dyDescent="0.3">
      <c r="A11">
        <v>10</v>
      </c>
      <c r="B11" t="s">
        <v>112</v>
      </c>
      <c r="C11">
        <v>1000</v>
      </c>
    </row>
    <row r="12" spans="1:3" x14ac:dyDescent="0.3">
      <c r="C12">
        <f>SUM(C2:C11)</f>
        <v>13855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93190-37D1-4ED0-9044-77DB6585A27D}">
  <dimension ref="A1:D7"/>
  <sheetViews>
    <sheetView workbookViewId="0">
      <selection activeCell="D14" sqref="D14"/>
    </sheetView>
  </sheetViews>
  <sheetFormatPr defaultRowHeight="14.4" x14ac:dyDescent="0.3"/>
  <cols>
    <col min="2" max="2" width="10.21875" customWidth="1"/>
    <col min="3" max="3" width="9.77734375" customWidth="1"/>
    <col min="4" max="4" width="12.5546875" customWidth="1"/>
  </cols>
  <sheetData>
    <row r="1" spans="1:4" x14ac:dyDescent="0.3">
      <c r="A1" t="s">
        <v>8</v>
      </c>
      <c r="B1" t="s">
        <v>64</v>
      </c>
      <c r="C1" t="s">
        <v>52</v>
      </c>
      <c r="D1" t="s">
        <v>53</v>
      </c>
    </row>
    <row r="2" spans="1:4" x14ac:dyDescent="0.3">
      <c r="A2">
        <v>1</v>
      </c>
      <c r="B2" t="s">
        <v>54</v>
      </c>
      <c r="C2">
        <v>1000000</v>
      </c>
      <c r="D2">
        <v>15</v>
      </c>
    </row>
    <row r="3" spans="1:4" x14ac:dyDescent="0.3">
      <c r="A3">
        <v>2</v>
      </c>
      <c r="B3" t="s">
        <v>55</v>
      </c>
      <c r="C3">
        <v>1040000</v>
      </c>
      <c r="D3">
        <v>15</v>
      </c>
    </row>
    <row r="4" spans="1:4" x14ac:dyDescent="0.3">
      <c r="A4">
        <v>3</v>
      </c>
      <c r="B4" t="s">
        <v>65</v>
      </c>
      <c r="C4">
        <v>400000</v>
      </c>
      <c r="D4">
        <v>15</v>
      </c>
    </row>
    <row r="5" spans="1:4" x14ac:dyDescent="0.3">
      <c r="A5">
        <v>4</v>
      </c>
      <c r="B5" t="s">
        <v>134</v>
      </c>
      <c r="C5" s="11">
        <f>sneha!E2</f>
        <v>80809</v>
      </c>
      <c r="D5">
        <v>0</v>
      </c>
    </row>
    <row r="6" spans="1:4" x14ac:dyDescent="0.3">
      <c r="A6">
        <v>5</v>
      </c>
      <c r="B6" t="s">
        <v>135</v>
      </c>
      <c r="C6" s="11">
        <v>-591716.86</v>
      </c>
      <c r="D6">
        <v>8.35</v>
      </c>
    </row>
    <row r="7" spans="1:4" x14ac:dyDescent="0.3">
      <c r="C7">
        <f>SUM(C2:C6)</f>
        <v>1929092.1400000001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24599-ABFC-4DA7-9923-CB93CA2EAD79}">
  <dimension ref="A1:J5"/>
  <sheetViews>
    <sheetView workbookViewId="0">
      <selection activeCell="E17" sqref="E17"/>
    </sheetView>
  </sheetViews>
  <sheetFormatPr defaultRowHeight="14.4" x14ac:dyDescent="0.3"/>
  <cols>
    <col min="8" max="8" width="10.33203125" bestFit="1" customWidth="1"/>
    <col min="10" max="10" width="11.21875" bestFit="1" customWidth="1"/>
  </cols>
  <sheetData>
    <row r="1" spans="1:10" x14ac:dyDescent="0.3">
      <c r="A1" t="s">
        <v>21</v>
      </c>
      <c r="B1" t="s">
        <v>57</v>
      </c>
      <c r="C1" t="s">
        <v>58</v>
      </c>
      <c r="D1" t="s">
        <v>61</v>
      </c>
      <c r="E1" t="s">
        <v>59</v>
      </c>
      <c r="F1" t="s">
        <v>62</v>
      </c>
      <c r="G1" t="s">
        <v>63</v>
      </c>
      <c r="H1" t="s">
        <v>66</v>
      </c>
      <c r="I1" t="s">
        <v>67</v>
      </c>
    </row>
    <row r="2" spans="1:10" x14ac:dyDescent="0.3">
      <c r="A2">
        <v>1</v>
      </c>
      <c r="B2" t="s">
        <v>54</v>
      </c>
      <c r="C2">
        <v>1200000</v>
      </c>
      <c r="D2">
        <v>25</v>
      </c>
      <c r="E2">
        <f ca="1">ROUND((J2-H2)*12/365,0)+1</f>
        <v>2</v>
      </c>
      <c r="F2">
        <v>40000</v>
      </c>
      <c r="G2" s="7">
        <v>46799</v>
      </c>
      <c r="H2" s="8">
        <v>46039</v>
      </c>
      <c r="I2">
        <f ca="1">E2/D2*C2</f>
        <v>96000</v>
      </c>
      <c r="J2" s="9" t="str">
        <f ca="1" xml:space="preserve"> TEXT(TODAY(), "MMM-yy")</f>
        <v>Mar-26</v>
      </c>
    </row>
    <row r="3" spans="1:10" x14ac:dyDescent="0.3">
      <c r="A3">
        <v>2</v>
      </c>
      <c r="B3" t="s">
        <v>55</v>
      </c>
      <c r="C3">
        <v>500000</v>
      </c>
      <c r="D3">
        <v>32</v>
      </c>
      <c r="E3">
        <f ca="1">ROUND((J3-H3)*12/365,0)+1</f>
        <v>34</v>
      </c>
      <c r="F3">
        <v>13000</v>
      </c>
      <c r="G3" s="7">
        <v>46054</v>
      </c>
      <c r="H3" s="7">
        <v>45078</v>
      </c>
      <c r="I3">
        <f ca="1">E3/D3*C3</f>
        <v>531250</v>
      </c>
      <c r="J3" s="9" t="str">
        <f ca="1" xml:space="preserve"> TEXT(TODAY(), "MMM-yy")</f>
        <v>Mar-26</v>
      </c>
    </row>
    <row r="4" spans="1:10" x14ac:dyDescent="0.3">
      <c r="H4" t="s">
        <v>3</v>
      </c>
      <c r="I4">
        <f ca="1">I2+I3</f>
        <v>627250</v>
      </c>
    </row>
    <row r="5" spans="1:10" x14ac:dyDescent="0.3">
      <c r="E5">
        <f ca="1">(J2-H2)*12/365</f>
        <v>1.4136986301369863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E580-59A6-485E-B307-C00230C99732}">
  <dimension ref="A1:J31"/>
  <sheetViews>
    <sheetView workbookViewId="0">
      <selection activeCell="J19" sqref="J19"/>
    </sheetView>
  </sheetViews>
  <sheetFormatPr defaultRowHeight="14.4" x14ac:dyDescent="0.3"/>
  <cols>
    <col min="2" max="2" width="13" customWidth="1"/>
    <col min="3" max="3" width="10.33203125" bestFit="1" customWidth="1"/>
    <col min="6" max="6" width="10.33203125" bestFit="1" customWidth="1"/>
    <col min="7" max="7" width="13.33203125" customWidth="1"/>
    <col min="10" max="10" width="10.33203125" bestFit="1" customWidth="1"/>
  </cols>
  <sheetData>
    <row r="1" spans="1:10" x14ac:dyDescent="0.3">
      <c r="A1" t="s">
        <v>70</v>
      </c>
      <c r="B1" t="s">
        <v>58</v>
      </c>
      <c r="C1" t="s">
        <v>71</v>
      </c>
      <c r="D1" t="s">
        <v>63</v>
      </c>
      <c r="E1" t="s">
        <v>72</v>
      </c>
      <c r="F1" t="s">
        <v>128</v>
      </c>
      <c r="G1" t="s">
        <v>130</v>
      </c>
      <c r="H1" t="s">
        <v>131</v>
      </c>
    </row>
    <row r="2" spans="1:10" x14ac:dyDescent="0.3">
      <c r="A2" t="s">
        <v>60</v>
      </c>
      <c r="B2">
        <v>758000</v>
      </c>
      <c r="C2">
        <v>25</v>
      </c>
      <c r="D2" s="7">
        <v>46296</v>
      </c>
      <c r="E2">
        <f>SUM(B6:B30)</f>
        <v>135840</v>
      </c>
      <c r="F2" s="8">
        <v>45207</v>
      </c>
      <c r="G2">
        <f>B2/C2*H2</f>
        <v>151600</v>
      </c>
      <c r="H2">
        <v>5</v>
      </c>
      <c r="J2" s="8"/>
    </row>
    <row r="5" spans="1:10" x14ac:dyDescent="0.3">
      <c r="A5" t="s">
        <v>127</v>
      </c>
      <c r="B5" t="s">
        <v>69</v>
      </c>
      <c r="C5" t="s">
        <v>126</v>
      </c>
    </row>
    <row r="6" spans="1:10" x14ac:dyDescent="0.3">
      <c r="A6">
        <v>1</v>
      </c>
      <c r="B6">
        <v>29280</v>
      </c>
      <c r="C6" s="8">
        <v>45968</v>
      </c>
      <c r="F6">
        <v>25280</v>
      </c>
      <c r="G6" s="8">
        <v>45207</v>
      </c>
    </row>
    <row r="7" spans="1:10" x14ac:dyDescent="0.3">
      <c r="A7">
        <v>2</v>
      </c>
      <c r="B7" s="23">
        <v>24960</v>
      </c>
      <c r="C7" s="8">
        <v>45996</v>
      </c>
      <c r="F7">
        <v>25000</v>
      </c>
      <c r="G7" s="8">
        <v>45238</v>
      </c>
    </row>
    <row r="8" spans="1:10" x14ac:dyDescent="0.3">
      <c r="A8">
        <v>3</v>
      </c>
      <c r="B8">
        <v>24960</v>
      </c>
      <c r="C8" s="8">
        <v>46028</v>
      </c>
      <c r="F8">
        <v>24960</v>
      </c>
      <c r="G8" s="8">
        <v>45268</v>
      </c>
    </row>
    <row r="9" spans="1:10" x14ac:dyDescent="0.3">
      <c r="A9">
        <v>4</v>
      </c>
      <c r="B9">
        <v>31680</v>
      </c>
      <c r="C9" s="8">
        <v>46057</v>
      </c>
      <c r="F9">
        <v>31680</v>
      </c>
      <c r="G9" s="8">
        <v>45299</v>
      </c>
    </row>
    <row r="10" spans="1:10" x14ac:dyDescent="0.3">
      <c r="A10">
        <v>5</v>
      </c>
      <c r="B10">
        <v>24960</v>
      </c>
      <c r="C10" s="8">
        <v>46087</v>
      </c>
      <c r="F10">
        <v>24960</v>
      </c>
      <c r="G10" s="8">
        <v>45330</v>
      </c>
    </row>
    <row r="11" spans="1:10" x14ac:dyDescent="0.3">
      <c r="A11">
        <v>6</v>
      </c>
      <c r="F11">
        <v>24860</v>
      </c>
      <c r="G11" s="8">
        <v>45359</v>
      </c>
    </row>
    <row r="12" spans="1:10" x14ac:dyDescent="0.3">
      <c r="A12">
        <v>7</v>
      </c>
      <c r="F12">
        <v>25440</v>
      </c>
      <c r="G12" s="8">
        <v>45390</v>
      </c>
    </row>
    <row r="13" spans="1:10" x14ac:dyDescent="0.3">
      <c r="A13">
        <v>8</v>
      </c>
      <c r="F13">
        <v>25960</v>
      </c>
      <c r="G13" s="8">
        <v>45420</v>
      </c>
    </row>
    <row r="14" spans="1:10" x14ac:dyDescent="0.3">
      <c r="A14">
        <v>9</v>
      </c>
      <c r="F14">
        <v>26560</v>
      </c>
      <c r="G14" s="8">
        <v>45451</v>
      </c>
    </row>
    <row r="15" spans="1:10" x14ac:dyDescent="0.3">
      <c r="A15">
        <v>10</v>
      </c>
      <c r="F15">
        <v>27360</v>
      </c>
      <c r="G15" s="8">
        <v>45481</v>
      </c>
    </row>
    <row r="16" spans="1:10" x14ac:dyDescent="0.3">
      <c r="A16">
        <v>11</v>
      </c>
      <c r="F16">
        <v>27760</v>
      </c>
      <c r="G16" s="8">
        <v>45512</v>
      </c>
    </row>
    <row r="17" spans="1:7" x14ac:dyDescent="0.3">
      <c r="A17">
        <v>12</v>
      </c>
      <c r="F17">
        <v>28360</v>
      </c>
      <c r="G17" s="8">
        <v>45543</v>
      </c>
    </row>
    <row r="18" spans="1:7" x14ac:dyDescent="0.3">
      <c r="A18">
        <v>13</v>
      </c>
      <c r="F18">
        <v>28960</v>
      </c>
      <c r="G18" s="8">
        <v>45573</v>
      </c>
    </row>
    <row r="19" spans="1:7" x14ac:dyDescent="0.3">
      <c r="A19">
        <v>14</v>
      </c>
      <c r="F19">
        <v>29140</v>
      </c>
      <c r="G19" s="8">
        <v>45604</v>
      </c>
    </row>
    <row r="20" spans="1:7" x14ac:dyDescent="0.3">
      <c r="A20">
        <v>15</v>
      </c>
      <c r="F20" s="14">
        <v>29760</v>
      </c>
      <c r="G20" s="8">
        <v>45634</v>
      </c>
    </row>
    <row r="21" spans="1:7" x14ac:dyDescent="0.3">
      <c r="A21">
        <v>16</v>
      </c>
      <c r="F21" s="14">
        <v>29760</v>
      </c>
      <c r="G21" s="8">
        <v>45665</v>
      </c>
    </row>
    <row r="22" spans="1:7" x14ac:dyDescent="0.3">
      <c r="A22">
        <v>17</v>
      </c>
      <c r="F22">
        <v>30120</v>
      </c>
      <c r="G22" s="8">
        <v>45696</v>
      </c>
    </row>
    <row r="23" spans="1:7" x14ac:dyDescent="0.3">
      <c r="A23">
        <v>18</v>
      </c>
      <c r="F23">
        <v>30560</v>
      </c>
      <c r="G23" s="8">
        <v>45724</v>
      </c>
    </row>
    <row r="24" spans="1:7" x14ac:dyDescent="0.3">
      <c r="A24">
        <v>19</v>
      </c>
      <c r="F24">
        <v>30960</v>
      </c>
      <c r="G24" s="8">
        <v>45755</v>
      </c>
    </row>
    <row r="25" spans="1:7" x14ac:dyDescent="0.3">
      <c r="A25">
        <v>20</v>
      </c>
      <c r="F25">
        <v>31280</v>
      </c>
      <c r="G25" s="8">
        <v>45785</v>
      </c>
    </row>
    <row r="26" spans="1:7" x14ac:dyDescent="0.3">
      <c r="A26">
        <v>21</v>
      </c>
      <c r="F26">
        <v>31320</v>
      </c>
      <c r="G26" s="8">
        <v>45816</v>
      </c>
    </row>
    <row r="27" spans="1:7" x14ac:dyDescent="0.3">
      <c r="A27">
        <v>22</v>
      </c>
      <c r="F27">
        <v>31480</v>
      </c>
      <c r="G27" s="8">
        <v>45846</v>
      </c>
    </row>
    <row r="28" spans="1:7" x14ac:dyDescent="0.3">
      <c r="A28">
        <v>23</v>
      </c>
      <c r="F28">
        <v>31520</v>
      </c>
      <c r="G28" s="8">
        <v>45877</v>
      </c>
    </row>
    <row r="29" spans="1:7" x14ac:dyDescent="0.3">
      <c r="A29">
        <v>24</v>
      </c>
      <c r="F29">
        <v>31600</v>
      </c>
      <c r="G29" s="8">
        <v>45908</v>
      </c>
    </row>
    <row r="30" spans="1:7" x14ac:dyDescent="0.3">
      <c r="A30">
        <v>25</v>
      </c>
      <c r="F30">
        <v>31780</v>
      </c>
      <c r="G30" s="8">
        <v>45938</v>
      </c>
    </row>
    <row r="31" spans="1:7" x14ac:dyDescent="0.3">
      <c r="F31">
        <f>SUM(F6:F30)</f>
        <v>716420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0695-C58C-4A05-8BFA-D483AA6D93B6}">
  <dimension ref="A1:E9"/>
  <sheetViews>
    <sheetView workbookViewId="0">
      <selection activeCell="M39" sqref="M39"/>
    </sheetView>
  </sheetViews>
  <sheetFormatPr defaultRowHeight="14.4" x14ac:dyDescent="0.3"/>
  <sheetData>
    <row r="1" spans="1:5" x14ac:dyDescent="0.3">
      <c r="A1" t="s">
        <v>8</v>
      </c>
      <c r="B1" t="s">
        <v>80</v>
      </c>
      <c r="C1" t="s">
        <v>52</v>
      </c>
      <c r="D1" t="s">
        <v>81</v>
      </c>
      <c r="E1" t="s">
        <v>82</v>
      </c>
    </row>
    <row r="2" spans="1:5" x14ac:dyDescent="0.3">
      <c r="A2">
        <v>1</v>
      </c>
      <c r="B2" t="s">
        <v>79</v>
      </c>
      <c r="C2">
        <v>170501</v>
      </c>
      <c r="D2" t="s">
        <v>20</v>
      </c>
      <c r="E2" t="s">
        <v>83</v>
      </c>
    </row>
    <row r="3" spans="1:5" x14ac:dyDescent="0.3">
      <c r="A3">
        <v>2</v>
      </c>
      <c r="B3" t="s">
        <v>84</v>
      </c>
      <c r="C3">
        <v>10000</v>
      </c>
      <c r="D3" t="s">
        <v>88</v>
      </c>
      <c r="E3" t="s">
        <v>60</v>
      </c>
    </row>
    <row r="4" spans="1:5" x14ac:dyDescent="0.3">
      <c r="A4">
        <v>3</v>
      </c>
      <c r="B4" t="s">
        <v>84</v>
      </c>
      <c r="C4">
        <v>12500</v>
      </c>
      <c r="D4" t="s">
        <v>20</v>
      </c>
      <c r="E4" t="s">
        <v>85</v>
      </c>
    </row>
    <row r="5" spans="1:5" x14ac:dyDescent="0.3">
      <c r="A5">
        <v>4</v>
      </c>
      <c r="B5" t="s">
        <v>84</v>
      </c>
      <c r="C5">
        <v>13000</v>
      </c>
      <c r="D5" t="s">
        <v>88</v>
      </c>
      <c r="E5" t="s">
        <v>86</v>
      </c>
    </row>
    <row r="6" spans="1:5" x14ac:dyDescent="0.3">
      <c r="A6">
        <v>5</v>
      </c>
      <c r="B6" t="s">
        <v>79</v>
      </c>
      <c r="C6">
        <v>45000</v>
      </c>
      <c r="D6" t="s">
        <v>20</v>
      </c>
      <c r="E6" t="s">
        <v>87</v>
      </c>
    </row>
    <row r="7" spans="1:5" x14ac:dyDescent="0.3">
      <c r="A7">
        <v>6</v>
      </c>
      <c r="B7" t="s">
        <v>89</v>
      </c>
      <c r="C7">
        <v>2016</v>
      </c>
      <c r="D7" t="s">
        <v>88</v>
      </c>
      <c r="E7" t="s">
        <v>91</v>
      </c>
    </row>
    <row r="8" spans="1:5" x14ac:dyDescent="0.3">
      <c r="A8">
        <v>7</v>
      </c>
      <c r="B8" t="s">
        <v>79</v>
      </c>
      <c r="C8">
        <v>94754</v>
      </c>
      <c r="D8" t="s">
        <v>90</v>
      </c>
      <c r="E8" t="s">
        <v>92</v>
      </c>
    </row>
    <row r="9" spans="1:5" x14ac:dyDescent="0.3">
      <c r="B9" t="s">
        <v>98</v>
      </c>
      <c r="C9">
        <f>SUM(C2:C8)</f>
        <v>347771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6B5AF-D957-4C16-8A9F-0C6FB52AC29D}">
  <dimension ref="A1:E14"/>
  <sheetViews>
    <sheetView workbookViewId="0">
      <selection activeCell="E3" sqref="E3"/>
    </sheetView>
  </sheetViews>
  <sheetFormatPr defaultRowHeight="15.6" x14ac:dyDescent="0.3"/>
  <cols>
    <col min="1" max="1" width="18.21875" style="17" customWidth="1"/>
    <col min="2" max="2" width="15.6640625" style="13" bestFit="1" customWidth="1"/>
    <col min="3" max="3" width="8.88671875" style="13"/>
    <col min="4" max="5" width="12.6640625" style="13" bestFit="1" customWidth="1"/>
    <col min="6" max="16384" width="8.88671875" style="13"/>
  </cols>
  <sheetData>
    <row r="1" spans="1:5" x14ac:dyDescent="0.3">
      <c r="A1" s="17" t="s">
        <v>141</v>
      </c>
      <c r="B1" s="22">
        <v>187682</v>
      </c>
    </row>
    <row r="2" spans="1:5" ht="18" thickBot="1" x14ac:dyDescent="0.35">
      <c r="A2" s="17" t="s">
        <v>111</v>
      </c>
      <c r="B2" s="11">
        <v>192552.97</v>
      </c>
      <c r="C2" s="19"/>
    </row>
    <row r="3" spans="1:5" x14ac:dyDescent="0.3">
      <c r="A3" s="17" t="s">
        <v>78</v>
      </c>
      <c r="B3" s="11">
        <v>874774</v>
      </c>
    </row>
    <row r="4" spans="1:5" x14ac:dyDescent="0.3">
      <c r="A4" s="17" t="s">
        <v>120</v>
      </c>
      <c r="B4" s="15">
        <f ca="1">Table1[[#Totals],[Current_amount]]</f>
        <v>4896522.9062747946</v>
      </c>
    </row>
    <row r="5" spans="1:5" x14ac:dyDescent="0.3">
      <c r="A5" s="17" t="s">
        <v>73</v>
      </c>
      <c r="B5" s="15">
        <f>Table2[[#Totals],[savings account]]</f>
        <v>270005.34999999998</v>
      </c>
    </row>
    <row r="6" spans="1:5" x14ac:dyDescent="0.3">
      <c r="A6" s="17" t="s">
        <v>74</v>
      </c>
      <c r="B6" s="15">
        <f>'Mutal Funds'!F12</f>
        <v>663706</v>
      </c>
    </row>
    <row r="7" spans="1:5" x14ac:dyDescent="0.3">
      <c r="A7" s="17" t="s">
        <v>75</v>
      </c>
      <c r="B7" s="15">
        <f>Stocks!D28</f>
        <v>284127.21000000002</v>
      </c>
    </row>
    <row r="8" spans="1:5" x14ac:dyDescent="0.3">
      <c r="A8" s="17" t="s">
        <v>132</v>
      </c>
      <c r="B8" s="11">
        <v>314293.82</v>
      </c>
      <c r="D8" s="13">
        <f ca="1">B4+B5+2100000</f>
        <v>7266528.2562747942</v>
      </c>
      <c r="E8" s="13" t="s">
        <v>136</v>
      </c>
    </row>
    <row r="9" spans="1:5" x14ac:dyDescent="0.3">
      <c r="A9" s="17" t="s">
        <v>76</v>
      </c>
      <c r="B9" s="15">
        <f>Loans!C7</f>
        <v>1929092.1400000001</v>
      </c>
      <c r="D9" s="15">
        <f>B9</f>
        <v>1929092.1400000001</v>
      </c>
      <c r="E9" s="13" t="s">
        <v>137</v>
      </c>
    </row>
    <row r="10" spans="1:5" x14ac:dyDescent="0.3">
      <c r="A10" s="17" t="s">
        <v>77</v>
      </c>
      <c r="B10" s="15">
        <f ca="1">Variable_Chit!G2+Standard_Chits!I4</f>
        <v>778850</v>
      </c>
      <c r="D10" s="13">
        <f xml:space="preserve"> 600000</f>
        <v>600000</v>
      </c>
      <c r="E10" s="13" t="s">
        <v>138</v>
      </c>
    </row>
    <row r="11" spans="1:5" x14ac:dyDescent="0.3">
      <c r="A11" s="17" t="s">
        <v>3</v>
      </c>
      <c r="B11" s="16">
        <f ca="1">SUM(B1:B10)</f>
        <v>10391606.396274794</v>
      </c>
      <c r="D11" s="13">
        <v>4000000</v>
      </c>
      <c r="E11" s="13" t="s">
        <v>139</v>
      </c>
    </row>
    <row r="12" spans="1:5" x14ac:dyDescent="0.3">
      <c r="D12" s="13">
        <v>4000000</v>
      </c>
      <c r="E12" s="13" t="s">
        <v>140</v>
      </c>
    </row>
    <row r="13" spans="1:5" x14ac:dyDescent="0.3">
      <c r="D13" s="13">
        <f ca="1">SUM(D8:D12)</f>
        <v>17795620.396274794</v>
      </c>
    </row>
    <row r="14" spans="1:5" ht="31.2" x14ac:dyDescent="0.3">
      <c r="A14" s="17" t="s">
        <v>99</v>
      </c>
      <c r="B14" s="13">
        <f>Earnings!C9-Spending!C8-'Utility Bills'!C12</f>
        <v>189470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F7FBB-BF50-44D0-A28F-E7CFC92B194C}">
  <dimension ref="A1:E8"/>
  <sheetViews>
    <sheetView workbookViewId="0">
      <selection activeCell="E13" sqref="E13"/>
    </sheetView>
  </sheetViews>
  <sheetFormatPr defaultRowHeight="14.4" x14ac:dyDescent="0.3"/>
  <cols>
    <col min="11" max="11" width="9.5546875" customWidth="1"/>
    <col min="12" max="12" width="14.6640625" customWidth="1"/>
    <col min="13" max="13" width="9.6640625" customWidth="1"/>
  </cols>
  <sheetData>
    <row r="1" spans="1:5" x14ac:dyDescent="0.3">
      <c r="A1" t="s">
        <v>8</v>
      </c>
      <c r="B1" t="s">
        <v>80</v>
      </c>
      <c r="C1" t="s">
        <v>52</v>
      </c>
      <c r="D1" t="s">
        <v>81</v>
      </c>
      <c r="E1" t="s">
        <v>93</v>
      </c>
    </row>
    <row r="2" spans="1:5" x14ac:dyDescent="0.3">
      <c r="B2" t="s">
        <v>95</v>
      </c>
      <c r="C2">
        <v>40000</v>
      </c>
      <c r="D2" t="s">
        <v>20</v>
      </c>
      <c r="E2" t="s">
        <v>54</v>
      </c>
    </row>
    <row r="3" spans="1:5" x14ac:dyDescent="0.3">
      <c r="B3" t="s">
        <v>95</v>
      </c>
      <c r="C3">
        <v>13000</v>
      </c>
      <c r="D3" t="s">
        <v>88</v>
      </c>
      <c r="E3" t="s">
        <v>55</v>
      </c>
    </row>
    <row r="4" spans="1:5" x14ac:dyDescent="0.3">
      <c r="B4" t="s">
        <v>96</v>
      </c>
      <c r="C4">
        <v>26000</v>
      </c>
      <c r="D4" t="s">
        <v>20</v>
      </c>
      <c r="E4" t="s">
        <v>94</v>
      </c>
    </row>
    <row r="5" spans="1:5" x14ac:dyDescent="0.3">
      <c r="B5" t="s">
        <v>97</v>
      </c>
      <c r="C5">
        <v>30446</v>
      </c>
      <c r="D5" t="s">
        <v>20</v>
      </c>
      <c r="E5" t="s">
        <v>56</v>
      </c>
    </row>
    <row r="6" spans="1:5" x14ac:dyDescent="0.3">
      <c r="B6" t="s">
        <v>96</v>
      </c>
      <c r="C6">
        <v>35000</v>
      </c>
      <c r="D6" t="s">
        <v>20</v>
      </c>
      <c r="E6" t="s">
        <v>75</v>
      </c>
    </row>
    <row r="8" spans="1:5" x14ac:dyDescent="0.3">
      <c r="B8" t="s">
        <v>98</v>
      </c>
      <c r="C8">
        <f>SUM(C2:C6)</f>
        <v>144446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74532-E911-40D2-A27E-F22D593E8AFE}">
  <dimension ref="A1:G33"/>
  <sheetViews>
    <sheetView workbookViewId="0">
      <selection activeCell="B4" sqref="B4"/>
    </sheetView>
  </sheetViews>
  <sheetFormatPr defaultRowHeight="14.4" x14ac:dyDescent="0.3"/>
  <cols>
    <col min="2" max="2" width="10" bestFit="1" customWidth="1"/>
  </cols>
  <sheetData>
    <row r="1" spans="1:5" x14ac:dyDescent="0.3">
      <c r="A1" t="s">
        <v>147</v>
      </c>
    </row>
    <row r="2" spans="1:5" x14ac:dyDescent="0.3">
      <c r="A2" t="s">
        <v>142</v>
      </c>
      <c r="B2" s="24">
        <v>2986000</v>
      </c>
    </row>
    <row r="3" spans="1:5" x14ac:dyDescent="0.3">
      <c r="A3" t="s">
        <v>143</v>
      </c>
      <c r="B3">
        <v>500000</v>
      </c>
    </row>
    <row r="4" spans="1:5" x14ac:dyDescent="0.3">
      <c r="A4" t="s">
        <v>144</v>
      </c>
      <c r="B4">
        <f>C4*90.2</f>
        <v>90200</v>
      </c>
      <c r="C4">
        <v>1000</v>
      </c>
    </row>
    <row r="5" spans="1:5" x14ac:dyDescent="0.3">
      <c r="A5" t="s">
        <v>145</v>
      </c>
      <c r="B5">
        <v>107416</v>
      </c>
    </row>
    <row r="6" spans="1:5" x14ac:dyDescent="0.3">
      <c r="A6" t="s">
        <v>146</v>
      </c>
      <c r="B6">
        <f>Overall!B8-C6</f>
        <v>34293.820000000007</v>
      </c>
      <c r="C6">
        <f>280000</f>
        <v>280000</v>
      </c>
    </row>
    <row r="7" spans="1:5" x14ac:dyDescent="0.3">
      <c r="A7" t="s">
        <v>154</v>
      </c>
      <c r="B7">
        <f>8.25*C7/100</f>
        <v>72168.854999999996</v>
      </c>
      <c r="C7">
        <f>Overall!B3</f>
        <v>874774</v>
      </c>
    </row>
    <row r="8" spans="1:5" x14ac:dyDescent="0.3">
      <c r="A8" t="s">
        <v>155</v>
      </c>
      <c r="B8">
        <f>C8/5</f>
        <v>37536.400000000001</v>
      </c>
      <c r="C8">
        <f>Overall!B1</f>
        <v>187682</v>
      </c>
    </row>
    <row r="9" spans="1:5" x14ac:dyDescent="0.3">
      <c r="E9" s="24">
        <f>SUM(B2:B8)</f>
        <v>3827615.0749999997</v>
      </c>
    </row>
    <row r="10" spans="1:5" x14ac:dyDescent="0.3">
      <c r="A10" t="s">
        <v>148</v>
      </c>
    </row>
    <row r="11" spans="1:5" x14ac:dyDescent="0.3">
      <c r="A11" t="s">
        <v>149</v>
      </c>
      <c r="B11">
        <f>C11*12</f>
        <v>150000</v>
      </c>
      <c r="C11">
        <v>12500</v>
      </c>
    </row>
    <row r="12" spans="1:5" x14ac:dyDescent="0.3">
      <c r="A12" t="s">
        <v>150</v>
      </c>
      <c r="B12">
        <f>C12*7/100</f>
        <v>331396.81400000001</v>
      </c>
      <c r="C12">
        <f>Table1[[#Totals],[Invested]]</f>
        <v>4734240.2</v>
      </c>
    </row>
    <row r="13" spans="1:5" x14ac:dyDescent="0.3">
      <c r="A13" t="s">
        <v>151</v>
      </c>
      <c r="B13">
        <f>C13*0.08</f>
        <v>53096.480000000003</v>
      </c>
      <c r="C13">
        <f>Overall!B6</f>
        <v>663706</v>
      </c>
    </row>
    <row r="14" spans="1:5" x14ac:dyDescent="0.3">
      <c r="A14" t="s">
        <v>146</v>
      </c>
      <c r="B14">
        <f>C14*0.1</f>
        <v>28412.721000000005</v>
      </c>
      <c r="C14">
        <f>Overall!B7</f>
        <v>284127.21000000002</v>
      </c>
    </row>
    <row r="15" spans="1:5" x14ac:dyDescent="0.3">
      <c r="A15" t="s">
        <v>152</v>
      </c>
      <c r="B15">
        <f>C15/2</f>
        <v>125000</v>
      </c>
      <c r="C15">
        <f>250000</f>
        <v>250000</v>
      </c>
    </row>
    <row r="16" spans="1:5" x14ac:dyDescent="0.3">
      <c r="A16" t="s">
        <v>153</v>
      </c>
      <c r="B16">
        <f>C16*11</f>
        <v>495000</v>
      </c>
      <c r="C16">
        <v>45000</v>
      </c>
    </row>
    <row r="17" spans="1:7" x14ac:dyDescent="0.3">
      <c r="A17" t="s">
        <v>111</v>
      </c>
      <c r="B17">
        <f>C17*0.07</f>
        <v>13478.707900000001</v>
      </c>
      <c r="C17">
        <f>Overall!B2</f>
        <v>192552.97</v>
      </c>
    </row>
    <row r="18" spans="1:7" x14ac:dyDescent="0.3">
      <c r="E18">
        <f>SUM(B11:B16)</f>
        <v>1182906.0150000001</v>
      </c>
    </row>
    <row r="19" spans="1:7" x14ac:dyDescent="0.3">
      <c r="E19" s="24">
        <f>SUM(E9,E18)</f>
        <v>5010521.09</v>
      </c>
      <c r="G19">
        <f>E19*0.7/12</f>
        <v>292280.39691666665</v>
      </c>
    </row>
    <row r="20" spans="1:7" x14ac:dyDescent="0.3">
      <c r="A20" t="s">
        <v>156</v>
      </c>
    </row>
    <row r="21" spans="1:7" x14ac:dyDescent="0.3">
      <c r="A21" t="s">
        <v>157</v>
      </c>
      <c r="B21">
        <f>C21*12</f>
        <v>24192</v>
      </c>
      <c r="C21">
        <v>2016</v>
      </c>
    </row>
    <row r="22" spans="1:7" x14ac:dyDescent="0.3">
      <c r="A22" t="s">
        <v>158</v>
      </c>
      <c r="B22">
        <f>C22*12</f>
        <v>120000</v>
      </c>
      <c r="C22">
        <v>10000</v>
      </c>
    </row>
    <row r="23" spans="1:7" x14ac:dyDescent="0.3">
      <c r="A23" t="s">
        <v>159</v>
      </c>
      <c r="B23">
        <f>12*C23</f>
        <v>156000</v>
      </c>
      <c r="C23">
        <v>13000</v>
      </c>
    </row>
    <row r="25" spans="1:7" x14ac:dyDescent="0.3">
      <c r="A25" t="s">
        <v>160</v>
      </c>
    </row>
    <row r="26" spans="1:7" x14ac:dyDescent="0.3">
      <c r="B26">
        <v>1600000</v>
      </c>
    </row>
    <row r="28" spans="1:7" x14ac:dyDescent="0.3">
      <c r="A28" t="s">
        <v>161</v>
      </c>
      <c r="B28">
        <f>C28+Loans!C6</f>
        <v>5908283.1399999997</v>
      </c>
      <c r="C28">
        <v>6500000</v>
      </c>
      <c r="E28">
        <f>B28*0.05</f>
        <v>295414.15700000001</v>
      </c>
    </row>
    <row r="33" spans="2:2" x14ac:dyDescent="0.3">
      <c r="B33" s="24">
        <f>SUM(B1:B26)</f>
        <v>6924191.7978999997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5ADBE-7EBC-4349-8CD6-FD1A1314FD94}">
  <dimension ref="A1:E20"/>
  <sheetViews>
    <sheetView workbookViewId="0">
      <selection activeCell="F34" sqref="F34"/>
    </sheetView>
  </sheetViews>
  <sheetFormatPr defaultRowHeight="14.4" x14ac:dyDescent="0.3"/>
  <cols>
    <col min="2" max="2" width="10.33203125" bestFit="1" customWidth="1"/>
    <col min="13" max="13" width="10.33203125" bestFit="1" customWidth="1"/>
  </cols>
  <sheetData>
    <row r="1" spans="1:5" x14ac:dyDescent="0.3">
      <c r="A1" t="s">
        <v>21</v>
      </c>
      <c r="B1" t="s">
        <v>125</v>
      </c>
      <c r="C1" t="s">
        <v>52</v>
      </c>
    </row>
    <row r="2" spans="1:5" x14ac:dyDescent="0.3">
      <c r="A2">
        <v>1</v>
      </c>
      <c r="B2" s="8">
        <v>45539</v>
      </c>
      <c r="C2">
        <v>4368</v>
      </c>
      <c r="E2">
        <f>SUM(C2:C20)</f>
        <v>80809</v>
      </c>
    </row>
    <row r="3" spans="1:5" x14ac:dyDescent="0.3">
      <c r="A3">
        <v>2</v>
      </c>
      <c r="B3" s="8">
        <v>45569</v>
      </c>
      <c r="C3">
        <v>4368</v>
      </c>
    </row>
    <row r="4" spans="1:5" x14ac:dyDescent="0.3">
      <c r="A4">
        <v>3</v>
      </c>
      <c r="B4" s="8">
        <v>45600</v>
      </c>
      <c r="C4">
        <v>4369</v>
      </c>
    </row>
    <row r="5" spans="1:5" x14ac:dyDescent="0.3">
      <c r="A5">
        <v>4</v>
      </c>
      <c r="B5" s="8">
        <v>45630</v>
      </c>
      <c r="C5">
        <v>4368</v>
      </c>
    </row>
    <row r="6" spans="1:5" x14ac:dyDescent="0.3">
      <c r="A6">
        <v>5</v>
      </c>
      <c r="B6" s="8">
        <v>45661</v>
      </c>
      <c r="C6">
        <v>4368</v>
      </c>
    </row>
    <row r="7" spans="1:5" x14ac:dyDescent="0.3">
      <c r="A7">
        <v>6</v>
      </c>
      <c r="B7" s="8">
        <v>45692</v>
      </c>
      <c r="C7">
        <v>4368</v>
      </c>
    </row>
    <row r="8" spans="1:5" x14ac:dyDescent="0.3">
      <c r="A8">
        <v>7</v>
      </c>
      <c r="B8" s="8">
        <v>45720</v>
      </c>
      <c r="C8">
        <v>4368</v>
      </c>
    </row>
    <row r="9" spans="1:5" x14ac:dyDescent="0.3">
      <c r="A9">
        <v>8</v>
      </c>
      <c r="B9" s="8">
        <v>45751</v>
      </c>
      <c r="C9">
        <v>4368</v>
      </c>
    </row>
    <row r="10" spans="1:5" x14ac:dyDescent="0.3">
      <c r="A10">
        <v>9</v>
      </c>
      <c r="B10" s="8">
        <v>45781</v>
      </c>
      <c r="C10">
        <v>4368</v>
      </c>
    </row>
    <row r="11" spans="1:5" x14ac:dyDescent="0.3">
      <c r="A11">
        <v>10</v>
      </c>
      <c r="B11" s="8">
        <v>45812</v>
      </c>
      <c r="C11">
        <v>4368</v>
      </c>
    </row>
    <row r="12" spans="1:5" x14ac:dyDescent="0.3">
      <c r="A12">
        <v>11</v>
      </c>
      <c r="B12" s="8">
        <v>45842</v>
      </c>
      <c r="C12">
        <v>4368</v>
      </c>
    </row>
    <row r="13" spans="1:5" x14ac:dyDescent="0.3">
      <c r="A13">
        <v>12</v>
      </c>
      <c r="B13" s="8">
        <v>45873</v>
      </c>
      <c r="C13">
        <v>4368</v>
      </c>
    </row>
    <row r="14" spans="1:5" x14ac:dyDescent="0.3">
      <c r="A14">
        <v>13</v>
      </c>
      <c r="B14" s="8">
        <v>45904</v>
      </c>
      <c r="C14">
        <v>4368</v>
      </c>
    </row>
    <row r="15" spans="1:5" x14ac:dyDescent="0.3">
      <c r="A15">
        <v>14</v>
      </c>
      <c r="B15" s="8">
        <v>45934</v>
      </c>
      <c r="C15">
        <v>4368</v>
      </c>
    </row>
    <row r="16" spans="1:5" x14ac:dyDescent="0.3">
      <c r="A16">
        <v>15</v>
      </c>
      <c r="B16" s="8">
        <v>45965</v>
      </c>
      <c r="C16">
        <v>4368</v>
      </c>
    </row>
    <row r="17" spans="1:3" x14ac:dyDescent="0.3">
      <c r="A17">
        <v>16</v>
      </c>
      <c r="B17" s="8">
        <v>45995</v>
      </c>
      <c r="C17">
        <v>4368</v>
      </c>
    </row>
    <row r="18" spans="1:3" x14ac:dyDescent="0.3">
      <c r="A18">
        <v>17</v>
      </c>
      <c r="B18" s="8">
        <v>46026</v>
      </c>
      <c r="C18">
        <v>4368</v>
      </c>
    </row>
    <row r="19" spans="1:3" x14ac:dyDescent="0.3">
      <c r="A19">
        <v>18</v>
      </c>
      <c r="B19" s="8">
        <v>46057</v>
      </c>
      <c r="C19">
        <v>3276</v>
      </c>
    </row>
    <row r="20" spans="1:3" x14ac:dyDescent="0.3">
      <c r="A20">
        <v>19</v>
      </c>
      <c r="B20" s="8">
        <v>46085</v>
      </c>
      <c r="C20">
        <v>3276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2F652A1-97CE-4531-8E8A-2337AB7203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Bank</vt:lpstr>
      <vt:lpstr>Fixed Deposit</vt:lpstr>
      <vt:lpstr>Stocks</vt:lpstr>
      <vt:lpstr>Mutal Funds</vt:lpstr>
      <vt:lpstr>Utility Bills</vt:lpstr>
      <vt:lpstr>Loans</vt:lpstr>
      <vt:lpstr>Standard_Chits</vt:lpstr>
      <vt:lpstr>Variable_Chit</vt:lpstr>
      <vt:lpstr>Earnings</vt:lpstr>
      <vt:lpstr>Overall</vt:lpstr>
      <vt:lpstr>Spending</vt:lpstr>
      <vt:lpstr>Sheet1</vt:lpstr>
      <vt:lpstr>sneha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Venkat Teja Vasa</dc:creator>
  <cp:lastModifiedBy>Venkat Teja Vasa</cp:lastModifiedBy>
  <dcterms:created xsi:type="dcterms:W3CDTF">2024-06-07T20:04:46Z</dcterms:created>
  <dcterms:modified xsi:type="dcterms:W3CDTF">2026-03-28T20:34:28Z</dcterms:modified>
</cp:coreProperties>
</file>