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nka\Desktop\Income\income\"/>
    </mc:Choice>
  </mc:AlternateContent>
  <xr:revisionPtr revIDLastSave="0" documentId="13_ncr:1_{3B632586-D5BF-42FB-BC1E-6198437682F4}" xr6:coauthVersionLast="45" xr6:coauthVersionMax="45" xr10:uidLastSave="{00000000-0000-0000-0000-000000000000}"/>
  <bookViews>
    <workbookView xWindow="-108" yWindow="-108" windowWidth="23256" windowHeight="12456" activeTab="5" xr2:uid="{00000000-000D-0000-FFFF-FFFF00000000}"/>
  </bookViews>
  <sheets>
    <sheet name="Banks" sheetId="2" r:id="rId1"/>
    <sheet name="Users" sheetId="1" r:id="rId2"/>
    <sheet name="bank_accounts" sheetId="3" r:id="rId3"/>
    <sheet name="Fixed Deposit" sheetId="4" r:id="rId4"/>
    <sheet name="Stocks" sheetId="5" r:id="rId5"/>
    <sheet name="Mutal Funds" sheetId="6" r:id="rId6"/>
    <sheet name="Utility Bills" sheetId="7" r:id="rId7"/>
    <sheet name="Loans" sheetId="8" r:id="rId8"/>
    <sheet name="Earnings" sheetId="9" r:id="rId9"/>
    <sheet name="Spending" sheetId="10" r:id="rId10"/>
    <sheet name="Standard_Chits" sheetId="11" r:id="rId11"/>
    <sheet name="Variable_Chit" sheetId="12" r:id="rId12"/>
    <sheet name="sneha" sheetId="13" r:id="rId13"/>
    <sheet name="Overall" sheetId="14" r:id="rId14"/>
    <sheet name="Sheet1" sheetId="15" r:id="rId15"/>
  </sheets>
  <externalReferences>
    <externalReference r:id="rId16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5" i="5" l="1"/>
  <c r="K25" i="5"/>
  <c r="K11" i="5"/>
  <c r="K2" i="5"/>
  <c r="K20" i="5"/>
  <c r="K21" i="5"/>
  <c r="K22" i="5"/>
  <c r="K16" i="5"/>
  <c r="K14" i="5"/>
  <c r="K10" i="5"/>
  <c r="K17" i="5"/>
  <c r="K8" i="5"/>
  <c r="K13" i="5"/>
  <c r="K4" i="5"/>
  <c r="K15" i="5"/>
  <c r="K19" i="5"/>
  <c r="K6" i="5"/>
  <c r="K7" i="5"/>
  <c r="K12" i="5"/>
  <c r="K18" i="5"/>
  <c r="K5" i="5"/>
  <c r="K9" i="5"/>
  <c r="K3" i="5"/>
  <c r="I2" i="5" l="1"/>
  <c r="D2" i="13" l="1"/>
  <c r="B8" i="10"/>
  <c r="C9" i="8" l="1"/>
  <c r="B6" i="14" s="1"/>
  <c r="D8" i="3" l="1"/>
  <c r="B3" i="14" s="1"/>
  <c r="I3" i="5" l="1"/>
  <c r="I5" i="5"/>
  <c r="I12" i="5"/>
  <c r="I4" i="5"/>
  <c r="I9" i="5"/>
  <c r="I7" i="5"/>
  <c r="I6" i="5"/>
  <c r="I8" i="5"/>
  <c r="I17" i="5"/>
  <c r="I13" i="5"/>
  <c r="I19" i="5"/>
  <c r="I15" i="5"/>
  <c r="I10" i="5"/>
  <c r="I16" i="5"/>
  <c r="I14" i="5"/>
  <c r="I18" i="5"/>
  <c r="I21" i="5"/>
  <c r="I11" i="5"/>
  <c r="I20" i="5"/>
  <c r="I22" i="5"/>
  <c r="G2" i="4" l="1"/>
  <c r="J2" i="4" s="1"/>
  <c r="H2" i="4" s="1"/>
  <c r="G3" i="4"/>
  <c r="J3" i="4" s="1"/>
  <c r="H3" i="4" s="1"/>
  <c r="G4" i="4"/>
  <c r="J4" i="4" s="1"/>
  <c r="H4" i="4" s="1"/>
  <c r="G5" i="4"/>
  <c r="J5" i="4" s="1"/>
  <c r="H5" i="4" s="1"/>
  <c r="G6" i="4"/>
  <c r="J6" i="4" s="1"/>
  <c r="H6" i="4" s="1"/>
  <c r="G7" i="4"/>
  <c r="J7" i="4" s="1"/>
  <c r="H7" i="4" s="1"/>
  <c r="G8" i="4"/>
  <c r="J8" i="4" s="1"/>
  <c r="H8" i="4" s="1"/>
  <c r="G9" i="4"/>
  <c r="J9" i="4" s="1"/>
  <c r="H9" i="4" s="1"/>
  <c r="G10" i="4"/>
  <c r="J10" i="4" s="1"/>
  <c r="H10" i="4" s="1"/>
  <c r="G11" i="4"/>
  <c r="J11" i="4" s="1"/>
  <c r="H11" i="4" s="1"/>
  <c r="G12" i="4"/>
  <c r="J12" i="4" s="1"/>
  <c r="H12" i="4" s="1"/>
  <c r="G13" i="4"/>
  <c r="J13" i="4" s="1"/>
  <c r="H13" i="4" s="1"/>
  <c r="G14" i="4"/>
  <c r="J14" i="4" s="1"/>
  <c r="H14" i="4" s="1"/>
  <c r="G15" i="4"/>
  <c r="J15" i="4" s="1"/>
  <c r="H15" i="4" s="1"/>
  <c r="G16" i="4"/>
  <c r="J16" i="4" s="1"/>
  <c r="H16" i="4" s="1"/>
  <c r="G17" i="4"/>
  <c r="J17" i="4" s="1"/>
  <c r="H17" i="4" s="1"/>
  <c r="G18" i="4"/>
  <c r="J18" i="4" s="1"/>
  <c r="H18" i="4" s="1"/>
  <c r="G19" i="4"/>
  <c r="J19" i="4" s="1"/>
  <c r="H19" i="4" s="1"/>
  <c r="G20" i="4"/>
  <c r="J20" i="4" s="1"/>
  <c r="H20" i="4" s="1"/>
  <c r="G21" i="4"/>
  <c r="J21" i="4" s="1"/>
  <c r="H21" i="4" s="1"/>
  <c r="G22" i="4"/>
  <c r="J22" i="4" s="1"/>
  <c r="H22" i="4" s="1"/>
  <c r="G23" i="4"/>
  <c r="J23" i="4" s="1"/>
  <c r="H23" i="4" s="1"/>
  <c r="G24" i="4"/>
  <c r="J24" i="4" s="1"/>
  <c r="H24" i="4" s="1"/>
  <c r="G25" i="4"/>
  <c r="J25" i="4" s="1"/>
  <c r="H25" i="4" s="1"/>
  <c r="G26" i="4"/>
  <c r="J26" i="4" s="1"/>
  <c r="H26" i="4" s="1"/>
  <c r="G27" i="4"/>
  <c r="J27" i="4" s="1"/>
  <c r="H27" i="4" s="1"/>
  <c r="G28" i="4"/>
  <c r="J28" i="4" s="1"/>
  <c r="H28" i="4" s="1"/>
  <c r="G29" i="4"/>
  <c r="J29" i="4" s="1"/>
  <c r="H29" i="4" s="1"/>
  <c r="G30" i="4"/>
  <c r="J30" i="4" s="1"/>
  <c r="H30" i="4" s="1"/>
  <c r="G31" i="4"/>
  <c r="J31" i="4" s="1"/>
  <c r="H31" i="4" s="1"/>
  <c r="G32" i="4"/>
  <c r="J32" i="4" s="1"/>
  <c r="H32" i="4" s="1"/>
  <c r="G33" i="4"/>
  <c r="J33" i="4" s="1"/>
  <c r="H33" i="4" s="1"/>
  <c r="G34" i="4"/>
  <c r="J34" i="4" s="1"/>
  <c r="H34" i="4" s="1"/>
  <c r="G35" i="4"/>
  <c r="J35" i="4" s="1"/>
  <c r="H35" i="4" s="1"/>
  <c r="G36" i="4"/>
  <c r="J36" i="4" s="1"/>
  <c r="H36" i="4" s="1"/>
  <c r="I2" i="4" l="1"/>
  <c r="C7" i="15"/>
  <c r="B7" i="15" s="1"/>
  <c r="C6" i="15"/>
  <c r="B6" i="15" s="1"/>
  <c r="B26" i="15"/>
  <c r="E26" i="15" s="1"/>
  <c r="B21" i="15"/>
  <c r="B20" i="15"/>
  <c r="B19" i="15"/>
  <c r="B15" i="15"/>
  <c r="C14" i="15"/>
  <c r="B14" i="15" s="1"/>
  <c r="B10" i="15"/>
  <c r="B4" i="15"/>
  <c r="F31" i="12"/>
  <c r="G2" i="12"/>
  <c r="E2" i="12"/>
  <c r="J3" i="11"/>
  <c r="E3" i="11" s="1"/>
  <c r="I3" i="11" s="1"/>
  <c r="J2" i="11"/>
  <c r="E5" i="11" s="1"/>
  <c r="L4" i="9"/>
  <c r="L2" i="6"/>
  <c r="L3" i="6"/>
  <c r="L4" i="6"/>
  <c r="L5" i="6"/>
  <c r="L6" i="6"/>
  <c r="L7" i="6"/>
  <c r="L8" i="6"/>
  <c r="L9" i="6"/>
  <c r="L10" i="6"/>
  <c r="L11" i="6"/>
  <c r="K2" i="6"/>
  <c r="K3" i="6"/>
  <c r="K4" i="6"/>
  <c r="K5" i="6"/>
  <c r="K6" i="6"/>
  <c r="K7" i="6"/>
  <c r="K8" i="6"/>
  <c r="K9" i="6"/>
  <c r="K10" i="6"/>
  <c r="K11" i="6"/>
  <c r="I25" i="5"/>
  <c r="J2" i="5"/>
  <c r="J3" i="5"/>
  <c r="J5" i="5"/>
  <c r="J12" i="5"/>
  <c r="J4" i="5"/>
  <c r="J9" i="5"/>
  <c r="J7" i="5"/>
  <c r="J6" i="5"/>
  <c r="J8" i="5"/>
  <c r="J17" i="5"/>
  <c r="J13" i="5"/>
  <c r="J19" i="5"/>
  <c r="J15" i="5"/>
  <c r="J10" i="5"/>
  <c r="J16" i="5"/>
  <c r="J14" i="5"/>
  <c r="J18" i="5"/>
  <c r="J21" i="5"/>
  <c r="J11" i="5"/>
  <c r="J20" i="5"/>
  <c r="J22" i="5"/>
  <c r="C39" i="4"/>
  <c r="C11" i="15" s="1"/>
  <c r="B11" i="15" s="1"/>
  <c r="K13" i="6" l="1"/>
  <c r="J13" i="6" s="1"/>
  <c r="L13" i="6"/>
  <c r="M13" i="6" s="1"/>
  <c r="J25" i="5"/>
  <c r="I35" i="4"/>
  <c r="I14" i="4"/>
  <c r="I36" i="4"/>
  <c r="I25" i="4"/>
  <c r="I13" i="4"/>
  <c r="I24" i="4"/>
  <c r="I12" i="4"/>
  <c r="I34" i="4"/>
  <c r="I23" i="4"/>
  <c r="I11" i="4"/>
  <c r="I22" i="4"/>
  <c r="I10" i="4"/>
  <c r="I33" i="4"/>
  <c r="I21" i="4"/>
  <c r="I9" i="4"/>
  <c r="I26" i="4"/>
  <c r="I32" i="4"/>
  <c r="I20" i="4"/>
  <c r="I8" i="4"/>
  <c r="I18" i="4"/>
  <c r="I31" i="4"/>
  <c r="I19" i="4"/>
  <c r="I7" i="4"/>
  <c r="I30" i="4"/>
  <c r="I6" i="4"/>
  <c r="I29" i="4"/>
  <c r="I17" i="4"/>
  <c r="I5" i="4"/>
  <c r="I28" i="4"/>
  <c r="I16" i="4"/>
  <c r="I4" i="4"/>
  <c r="I27" i="4"/>
  <c r="I15" i="4"/>
  <c r="I3" i="4"/>
  <c r="K3" i="4" s="1"/>
  <c r="H39" i="4"/>
  <c r="B2" i="14" s="1"/>
  <c r="E8" i="15"/>
  <c r="E2" i="11"/>
  <c r="I2" i="11" s="1"/>
  <c r="I4" i="11" s="1"/>
  <c r="B7" i="14" s="1"/>
  <c r="C12" i="15" l="1"/>
  <c r="B12" i="15" s="1"/>
  <c r="B4" i="14"/>
  <c r="B8" i="14" s="1"/>
  <c r="C13" i="15"/>
  <c r="B13" i="15" s="1"/>
  <c r="B5" i="14"/>
  <c r="H10" i="14"/>
  <c r="K26" i="4"/>
  <c r="K15" i="4"/>
  <c r="K17" i="4"/>
  <c r="K33" i="4"/>
  <c r="K22" i="4"/>
  <c r="K19" i="4"/>
  <c r="K4" i="4"/>
  <c r="K12" i="4"/>
  <c r="K20" i="4"/>
  <c r="K24" i="4"/>
  <c r="K28" i="4"/>
  <c r="K6" i="4"/>
  <c r="K35" i="4"/>
  <c r="K30" i="4"/>
  <c r="K10" i="4"/>
  <c r="K31" i="4"/>
  <c r="K23" i="4"/>
  <c r="K27" i="4"/>
  <c r="K18" i="4"/>
  <c r="K34" i="4"/>
  <c r="K8" i="4"/>
  <c r="K32" i="4"/>
  <c r="K13" i="4"/>
  <c r="K25" i="4"/>
  <c r="K16" i="4"/>
  <c r="K5" i="4"/>
  <c r="K9" i="4"/>
  <c r="K36" i="4"/>
  <c r="K29" i="4"/>
  <c r="K21" i="4"/>
  <c r="K14" i="4"/>
  <c r="K7" i="4"/>
  <c r="K11" i="4"/>
  <c r="B31" i="15" l="1"/>
  <c r="E16" i="15"/>
  <c r="E17" i="15" s="1"/>
  <c r="G17" i="15" s="1"/>
</calcChain>
</file>

<file path=xl/sharedStrings.xml><?xml version="1.0" encoding="utf-8"?>
<sst xmlns="http://schemas.openxmlformats.org/spreadsheetml/2006/main" count="426" uniqueCount="274">
  <si>
    <t>id</t>
  </si>
  <si>
    <t>full_name</t>
  </si>
  <si>
    <t>username</t>
  </si>
  <si>
    <t>email</t>
  </si>
  <si>
    <t>password_hash</t>
  </si>
  <si>
    <t>zerodha_api_key</t>
  </si>
  <si>
    <t>zerodha_api_secret</t>
  </si>
  <si>
    <t>zerodha_access_token</t>
  </si>
  <si>
    <t>zerodha_public_token</t>
  </si>
  <si>
    <t>zerodha_user_id</t>
  </si>
  <si>
    <t>zerodha_user_name</t>
  </si>
  <si>
    <t>zerodha_token_expires_at</t>
  </si>
  <si>
    <t>zerodha_connected_at</t>
  </si>
  <si>
    <t>zerodha_last_sync_at</t>
  </si>
  <si>
    <t>created_at</t>
  </si>
  <si>
    <t>Venkat Teja Vasa</t>
  </si>
  <si>
    <t>venkattj</t>
  </si>
  <si>
    <t>venkattejavasa08@gmail.com</t>
  </si>
  <si>
    <t>scrypt:32768:8:1$DvVeiyIIEefkSHDM$0f23094b1120cd24a9102fc860661958845e4671780200d96c7e29661633c359ebb879244ce4ebc647a6081229a2dea5d86ff6d0c19e382e73952444a78614e9</t>
  </si>
  <si>
    <t>k3l7bilkzsief2js</t>
  </si>
  <si>
    <t>8yj2kuv5rtkdj73ehr008jbsj9rjkt0f</t>
  </si>
  <si>
    <t>aSvA3ay3VN2Ygm5L4t69j7Muc7Bvwwjs</t>
  </si>
  <si>
    <t>Q9Ia1GdUnKOT26LWyJcmCVECV3rrcJqH</t>
  </si>
  <si>
    <t>BOB548</t>
  </si>
  <si>
    <t>Vasa Venkat Teja</t>
  </si>
  <si>
    <t>2026-03-31</t>
  </si>
  <si>
    <t>Rukmini Vasa</t>
  </si>
  <si>
    <t/>
  </si>
  <si>
    <t>name</t>
  </si>
  <si>
    <t>HDFC</t>
  </si>
  <si>
    <t>UNION</t>
  </si>
  <si>
    <t>INDUSIND</t>
  </si>
  <si>
    <t>SBI</t>
  </si>
  <si>
    <t>AXIS</t>
  </si>
  <si>
    <t>user_id</t>
  </si>
  <si>
    <t>bank_id</t>
  </si>
  <si>
    <t>balance</t>
  </si>
  <si>
    <t>purpose</t>
  </si>
  <si>
    <t>MUTAL FUNDS</t>
  </si>
  <si>
    <t>Transactions</t>
  </si>
  <si>
    <t>SALARY</t>
  </si>
  <si>
    <t>Pension</t>
  </si>
  <si>
    <t>S.No</t>
  </si>
  <si>
    <t>account_id</t>
  </si>
  <si>
    <t>Invested</t>
  </si>
  <si>
    <t>Interest Rate</t>
  </si>
  <si>
    <t>Maturity Date</t>
  </si>
  <si>
    <t>Created Date</t>
  </si>
  <si>
    <t>TODAY</t>
  </si>
  <si>
    <t>Current Amount</t>
  </si>
  <si>
    <t>Days To Mature</t>
  </si>
  <si>
    <t>2026-05-16</t>
  </si>
  <si>
    <t>2024-12-16</t>
  </si>
  <si>
    <t>2026-05-17</t>
  </si>
  <si>
    <t>2024-12-17</t>
  </si>
  <si>
    <t>2026-06-04</t>
  </si>
  <si>
    <t>2025-06-04</t>
  </si>
  <si>
    <t>2026-06-20</t>
  </si>
  <si>
    <t>2024-12-20</t>
  </si>
  <si>
    <t>2026-07-20</t>
  </si>
  <si>
    <t>2025-06-21</t>
  </si>
  <si>
    <t>2026-08-05</t>
  </si>
  <si>
    <t>2025-07-05</t>
  </si>
  <si>
    <t>2026-08-21</t>
  </si>
  <si>
    <t>2026-09-02</t>
  </si>
  <si>
    <t>2025-06-02</t>
  </si>
  <si>
    <t>2026-09-12</t>
  </si>
  <si>
    <t>2024-08-12</t>
  </si>
  <si>
    <t>2026-09-18</t>
  </si>
  <si>
    <t>2025-08-18</t>
  </si>
  <si>
    <t>2026-10-02</t>
  </si>
  <si>
    <t>2026-11-04</t>
  </si>
  <si>
    <t>2026-01-04</t>
  </si>
  <si>
    <t>2026-12-04</t>
  </si>
  <si>
    <t>2027-01-04</t>
  </si>
  <si>
    <t>2027-01-29</t>
  </si>
  <si>
    <t>2026-01-27</t>
  </si>
  <si>
    <t>2027-02-04</t>
  </si>
  <si>
    <t>2027-02-18</t>
  </si>
  <si>
    <t>2027-03-04</t>
  </si>
  <si>
    <t>2027-03-19</t>
  </si>
  <si>
    <t>2026-02-04</t>
  </si>
  <si>
    <t>2027-04-04</t>
  </si>
  <si>
    <t>2027-04-18</t>
  </si>
  <si>
    <t>2026-02-03</t>
  </si>
  <si>
    <t>2027-04-29</t>
  </si>
  <si>
    <t>2026-01-29</t>
  </si>
  <si>
    <t>2027-05-14</t>
  </si>
  <si>
    <t>2027-05-30</t>
  </si>
  <si>
    <t>2025-11-30</t>
  </si>
  <si>
    <t>2027-06-20</t>
  </si>
  <si>
    <t>2025-12-20</t>
  </si>
  <si>
    <t>2027-07-07</t>
  </si>
  <si>
    <t>2026-01-07</t>
  </si>
  <si>
    <t>2027-07-18</t>
  </si>
  <si>
    <t>2026-01-18</t>
  </si>
  <si>
    <t>2027-07-19</t>
  </si>
  <si>
    <t>2026-01-19</t>
  </si>
  <si>
    <t>2027-07-27</t>
  </si>
  <si>
    <t>2027-07-29</t>
  </si>
  <si>
    <t>2027-08-03</t>
  </si>
  <si>
    <t>2027-08-09</t>
  </si>
  <si>
    <t>2025-02-09</t>
  </si>
  <si>
    <t>2027-08-13</t>
  </si>
  <si>
    <t>2026-02-12</t>
  </si>
  <si>
    <t>2027-09-09</t>
  </si>
  <si>
    <t>2025-03-09</t>
  </si>
  <si>
    <t>Symbol</t>
  </si>
  <si>
    <t>Exchange</t>
  </si>
  <si>
    <t>ISIN</t>
  </si>
  <si>
    <t>Average Price</t>
  </si>
  <si>
    <t>Current Price</t>
  </si>
  <si>
    <t>Quantity</t>
  </si>
  <si>
    <t>Source</t>
  </si>
  <si>
    <t>JPMC</t>
  </si>
  <si>
    <t>ASE</t>
  </si>
  <si>
    <t>US46625H1005</t>
  </si>
  <si>
    <t>jpmc</t>
  </si>
  <si>
    <t>PIRAMALFIN</t>
  </si>
  <si>
    <t>BSE</t>
  </si>
  <si>
    <t>INE202B01038</t>
  </si>
  <si>
    <t>zerodha</t>
  </si>
  <si>
    <t>SBIN</t>
  </si>
  <si>
    <t>INE062A01020</t>
  </si>
  <si>
    <t>BEL</t>
  </si>
  <si>
    <t>NSE</t>
  </si>
  <si>
    <t>INE263A01024</t>
  </si>
  <si>
    <t>LLOYDSME</t>
  </si>
  <si>
    <t>INE281B01032</t>
  </si>
  <si>
    <t>PRICOLLTD</t>
  </si>
  <si>
    <t>INE726V01018</t>
  </si>
  <si>
    <t>BHEL</t>
  </si>
  <si>
    <t>INE257A01026</t>
  </si>
  <si>
    <t>CGPOWER</t>
  </si>
  <si>
    <t>INE067A01029</t>
  </si>
  <si>
    <t>PAYTM</t>
  </si>
  <si>
    <t>INE982J01020</t>
  </si>
  <si>
    <t>POWERGRID</t>
  </si>
  <si>
    <t>INE752E01010</t>
  </si>
  <si>
    <t>AADHARHFC</t>
  </si>
  <si>
    <t>INE883F01010</t>
  </si>
  <si>
    <t>SAGILITY</t>
  </si>
  <si>
    <t>INE0W2G01015</t>
  </si>
  <si>
    <t>SAIL</t>
  </si>
  <si>
    <t>INE114A01011</t>
  </si>
  <si>
    <t>LAURUSLABS</t>
  </si>
  <si>
    <t>INE947Q01028</t>
  </si>
  <si>
    <t>MARICO</t>
  </si>
  <si>
    <t>INE196A01026</t>
  </si>
  <si>
    <t>GROWW</t>
  </si>
  <si>
    <t>INE0HOQ01053</t>
  </si>
  <si>
    <t>CRAMC</t>
  </si>
  <si>
    <t>INE218I01013</t>
  </si>
  <si>
    <t>ASHOKLEY</t>
  </si>
  <si>
    <t>INE208A01029</t>
  </si>
  <si>
    <t>PRESTIGE</t>
  </si>
  <si>
    <t>INE811K01011</t>
  </si>
  <si>
    <t>IDFCFIRSTB</t>
  </si>
  <si>
    <t>INE092T01019</t>
  </si>
  <si>
    <t>MEDANTA</t>
  </si>
  <si>
    <t>INE474Q01031</t>
  </si>
  <si>
    <t>Amount</t>
  </si>
  <si>
    <t>Borrower</t>
  </si>
  <si>
    <t>Srinivas Mama</t>
  </si>
  <si>
    <t>Venkatesh Babai</t>
  </si>
  <si>
    <t>Ramesh Uncle</t>
  </si>
  <si>
    <t>sneha</t>
  </si>
  <si>
    <t>Home Loan</t>
  </si>
  <si>
    <t>Gratuity</t>
  </si>
  <si>
    <t>PF</t>
  </si>
  <si>
    <t>Income Type</t>
  </si>
  <si>
    <t>Person</t>
  </si>
  <si>
    <t>Teja</t>
  </si>
  <si>
    <t>Rukmini</t>
  </si>
  <si>
    <t>Ramesh</t>
  </si>
  <si>
    <t>Srinivas</t>
  </si>
  <si>
    <t>Venkatesh</t>
  </si>
  <si>
    <t>Prasad</t>
  </si>
  <si>
    <t>PM</t>
  </si>
  <si>
    <t>Spending Type</t>
  </si>
  <si>
    <t>Recipient</t>
  </si>
  <si>
    <t>Chit</t>
  </si>
  <si>
    <t>SIP</t>
  </si>
  <si>
    <t>Muatal Funds</t>
  </si>
  <si>
    <t>EMI</t>
  </si>
  <si>
    <t>LIC</t>
  </si>
  <si>
    <t>Stocks</t>
  </si>
  <si>
    <t>Value</t>
  </si>
  <si>
    <t>Name</t>
  </si>
  <si>
    <t>Months</t>
  </si>
  <si>
    <t>Payment Date</t>
  </si>
  <si>
    <t>Principal Balance</t>
  </si>
  <si>
    <t>Label</t>
  </si>
  <si>
    <t>Note 1</t>
  </si>
  <si>
    <t>Note 2</t>
  </si>
  <si>
    <t>Fixed Deposit</t>
  </si>
  <si>
    <t>Bank</t>
  </si>
  <si>
    <t>Mutal_fund</t>
  </si>
  <si>
    <t>Capital</t>
  </si>
  <si>
    <t>Chits</t>
  </si>
  <si>
    <t>Nippon India Credit Risk Fund Direct Growth</t>
  </si>
  <si>
    <t>Quant Small Cap Fund Direct Plan Growth</t>
  </si>
  <si>
    <t>Nippon India Small Cap Fund Direct Growth</t>
  </si>
  <si>
    <t>HDFC Balanced Advantage Fund Direct Growth</t>
  </si>
  <si>
    <t>HDFC Infrastructure Fund Direct Growth</t>
  </si>
  <si>
    <t>PGIM India Midcap Fund Direct Growth</t>
  </si>
  <si>
    <t>ICICI Prudential NASDAQ 100 Index Fund Direct Growth</t>
  </si>
  <si>
    <t>Bandhan Nifty 50 Index Fund Direct Plan Growth</t>
  </si>
  <si>
    <t>ICICI Prudential Commodities Fund Direct Growth</t>
  </si>
  <si>
    <t>fund_name</t>
  </si>
  <si>
    <t>scheme_code</t>
  </si>
  <si>
    <t>units</t>
  </si>
  <si>
    <t>average_nav</t>
  </si>
  <si>
    <t>nav_synced_at</t>
  </si>
  <si>
    <t>latest_nav</t>
  </si>
  <si>
    <t>nav_date</t>
  </si>
  <si>
    <t>sip</t>
  </si>
  <si>
    <t>Salary</t>
  </si>
  <si>
    <t>Intrest</t>
  </si>
  <si>
    <t>SNO</t>
  </si>
  <si>
    <t>Type</t>
  </si>
  <si>
    <t>Milk</t>
  </si>
  <si>
    <t>Grocery</t>
  </si>
  <si>
    <t>Fuel</t>
  </si>
  <si>
    <t>Medicine</t>
  </si>
  <si>
    <t>Food</t>
  </si>
  <si>
    <t>Gas</t>
  </si>
  <si>
    <t>Electricity</t>
  </si>
  <si>
    <t>Mainatanace</t>
  </si>
  <si>
    <t>Water Bill</t>
  </si>
  <si>
    <t>Internet</t>
  </si>
  <si>
    <t>emi no</t>
  </si>
  <si>
    <t>amount</t>
  </si>
  <si>
    <t>date</t>
  </si>
  <si>
    <t>nps</t>
  </si>
  <si>
    <t>current</t>
  </si>
  <si>
    <t>Current</t>
  </si>
  <si>
    <t>Total</t>
  </si>
  <si>
    <t>Organsation</t>
  </si>
  <si>
    <t>duration</t>
  </si>
  <si>
    <t>paid</t>
  </si>
  <si>
    <t>emi</t>
  </si>
  <si>
    <t>maturity</t>
  </si>
  <si>
    <t>Started</t>
  </si>
  <si>
    <t>Current_value</t>
  </si>
  <si>
    <t>total</t>
  </si>
  <si>
    <t>total_paid</t>
  </si>
  <si>
    <t>start date</t>
  </si>
  <si>
    <t>net_value</t>
  </si>
  <si>
    <t>emi_paid</t>
  </si>
  <si>
    <t>corporate</t>
  </si>
  <si>
    <t xml:space="preserve">salary </t>
  </si>
  <si>
    <t>variable</t>
  </si>
  <si>
    <t>cto bonus</t>
  </si>
  <si>
    <t>pf</t>
  </si>
  <si>
    <t>stocks</t>
  </si>
  <si>
    <t>pfintrest</t>
  </si>
  <si>
    <t>graduty</t>
  </si>
  <si>
    <t>personal</t>
  </si>
  <si>
    <t>srinivas mama</t>
  </si>
  <si>
    <t>fd intrest</t>
  </si>
  <si>
    <t>mutual funds</t>
  </si>
  <si>
    <t>chits</t>
  </si>
  <si>
    <t>prasad</t>
  </si>
  <si>
    <t>mom</t>
  </si>
  <si>
    <t>pension</t>
  </si>
  <si>
    <t>ramesh</t>
  </si>
  <si>
    <t>venkatest</t>
  </si>
  <si>
    <t>mani</t>
  </si>
  <si>
    <t>Home</t>
  </si>
  <si>
    <t>JPM</t>
  </si>
  <si>
    <t>invested days</t>
  </si>
  <si>
    <t>days diffrence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</si>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</sst>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libri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</font>
    <font>
      <b/>
      <sz val="11"/>
      <color rgb="FF333333"/>
      <name val="Arial"/>
      <family val="2"/>
    </font>
    <font>
      <sz val="11"/>
      <name val="Calibri"/>
      <family val="2"/>
    </font>
    <font>
      <sz val="8"/>
      <color rgb="FFA5D6FF"/>
      <name val="Consolas"/>
      <family val="3"/>
    </font>
    <font>
      <sz val="8"/>
      <color rgb="FF333333"/>
      <name val="Arial"/>
      <family val="2"/>
    </font>
    <font>
      <sz val="8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NumberFormat="1"/>
    <xf numFmtId="0" fontId="0" fillId="0" borderId="0" xfId="0" applyAlignment="1">
      <alignment vertical="center" wrapText="1"/>
    </xf>
    <xf numFmtId="0" fontId="0" fillId="0" borderId="0" xfId="0"/>
    <xf numFmtId="14" fontId="0" fillId="0" borderId="0" xfId="0" applyNumberFormat="1"/>
    <xf numFmtId="0" fontId="3" fillId="0" borderId="1" xfId="0" applyNumberFormat="1" applyFont="1" applyBorder="1"/>
    <xf numFmtId="17" fontId="0" fillId="0" borderId="0" xfId="0" applyNumberFormat="1"/>
    <xf numFmtId="14" fontId="4" fillId="0" borderId="0" xfId="0" applyNumberFormat="1" applyFont="1"/>
    <xf numFmtId="0" fontId="0" fillId="0" borderId="0" xfId="0" applyAlignment="1"/>
    <xf numFmtId="14" fontId="0" fillId="0" borderId="0" xfId="0" applyNumberFormat="1" applyAlignment="1"/>
    <xf numFmtId="0" fontId="2" fillId="0" borderId="0" xfId="0" applyFont="1" applyAlignment="1"/>
    <xf numFmtId="17" fontId="0" fillId="0" borderId="0" xfId="0" applyNumberFormat="1" applyAlignment="1"/>
    <xf numFmtId="0" fontId="1" fillId="0" borderId="0" xfId="0" applyFont="1" applyAlignment="1"/>
    <xf numFmtId="0" fontId="0" fillId="0" borderId="2" xfId="0" applyBorder="1" applyAlignment="1"/>
    <xf numFmtId="3" fontId="0" fillId="0" borderId="0" xfId="0" applyNumberFormat="1"/>
    <xf numFmtId="0" fontId="5" fillId="0" borderId="0" xfId="0" applyFont="1"/>
    <xf numFmtId="0" fontId="6" fillId="0" borderId="0" xfId="0" applyFont="1" applyAlignment="1">
      <alignment vertical="center"/>
    </xf>
    <xf numFmtId="4" fontId="7" fillId="0" borderId="0" xfId="0" applyNumberFormat="1" applyFont="1"/>
    <xf numFmtId="22" fontId="0" fillId="0" borderId="0" xfId="0" applyNumberFormat="1" applyAlignment="1">
      <alignment vertical="center" wrapText="1"/>
    </xf>
  </cellXfs>
  <cellStyles count="1">
    <cellStyle name="Normal" xfId="0" builtinId="0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come-ba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nk"/>
      <sheetName val="Fixed Deposit"/>
      <sheetName val="Stocks"/>
      <sheetName val="Mutal Funds"/>
      <sheetName val="Utility Bills"/>
      <sheetName val="Loans"/>
      <sheetName val="Standard_Chits"/>
      <sheetName val="Variable_Chit"/>
      <sheetName val="Earnings"/>
      <sheetName val="Overall"/>
      <sheetName val="Spending"/>
      <sheetName val="Sheet1"/>
      <sheetName val="sneha"/>
    </sheetNames>
    <sheetDataSet>
      <sheetData sheetId="0"/>
      <sheetData sheetId="1"/>
      <sheetData sheetId="2"/>
      <sheetData sheetId="3"/>
      <sheetData sheetId="4"/>
      <sheetData sheetId="5">
        <row r="6">
          <cell r="C6">
            <v>-591716.86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CE97E-6A8E-498A-9DE7-CAB216D91CDE}" name="Table1" displayName="Table1" ref="A1:B6" totalsRowShown="0">
  <autoFilter ref="A1:B6" xr:uid="{8CFA6E78-CFEB-47EF-86DF-451D9C230FDC}"/>
  <tableColumns count="2">
    <tableColumn id="1" xr3:uid="{DB3A3612-B83E-4D7B-B254-D5E87FA9835F}" name="id" dataDxfId="40"/>
    <tableColumn id="2" xr3:uid="{85D7CF35-0544-42D5-972C-21C95C59C0E4}" name="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4E878A-10A6-457B-B8C3-51324B90DAB2}" name="Table2" displayName="Table2" ref="A1:O3" totalsRowShown="0">
  <autoFilter ref="A1:O3" xr:uid="{8C15CAC8-E359-4B6E-8B28-9630C48729AF}"/>
  <tableColumns count="15">
    <tableColumn id="1" xr3:uid="{FBA81958-7492-4F54-8F4A-25EFCF6A5B4D}" name="id" dataDxfId="39"/>
    <tableColumn id="2" xr3:uid="{5FD37CCE-BA6A-43C8-9E9B-83A7A4EA08C8}" name="full_name"/>
    <tableColumn id="3" xr3:uid="{4A844664-C67F-428B-BB85-EF5C01D52A7E}" name="username"/>
    <tableColumn id="4" xr3:uid="{86EABDC0-DD78-477C-938E-6F40F48EFEDA}" name="email"/>
    <tableColumn id="5" xr3:uid="{9593314D-BE45-40DC-A882-0120AF64E4A0}" name="password_hash"/>
    <tableColumn id="6" xr3:uid="{A3478889-9AA7-46F6-A4E6-6285E66425F7}" name="zerodha_api_key"/>
    <tableColumn id="7" xr3:uid="{354EAB94-B989-4934-94D9-3530BDBDC7EC}" name="zerodha_api_secret"/>
    <tableColumn id="8" xr3:uid="{B9E0C554-A0C8-47B4-95A2-8E634F60BD38}" name="zerodha_access_token"/>
    <tableColumn id="9" xr3:uid="{1C659EC2-9C64-414A-ABFD-74D7F3B87003}" name="zerodha_public_token"/>
    <tableColumn id="10" xr3:uid="{DC6372E4-3E29-4C36-B372-72ECFBA579C9}" name="zerodha_user_id"/>
    <tableColumn id="11" xr3:uid="{366CDA07-EF30-44AF-BC79-E1676FE4393C}" name="zerodha_user_name"/>
    <tableColumn id="12" xr3:uid="{E39EFC27-9936-4804-97F9-05E2C0D6BE77}" name="zerodha_token_expires_at"/>
    <tableColumn id="13" xr3:uid="{70F65D8C-C29F-4EDA-99A1-AB32C14392D5}" name="zerodha_connected_at"/>
    <tableColumn id="14" xr3:uid="{3FC01602-0957-47A7-9E60-321F7972DC01}" name="zerodha_last_sync_at"/>
    <tableColumn id="15" xr3:uid="{B537C06E-8008-4476-B8C9-2F8B4E8668D7}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1DD6A-2D42-43D9-95EE-9724BCCA7483}" name="Table3" displayName="Table3" ref="A1:E8" totalsRowCount="1">
  <autoFilter ref="A1:E7" xr:uid="{8F00FFC1-A830-480F-BD36-4C288E783DEE}"/>
  <tableColumns count="5">
    <tableColumn id="1" xr3:uid="{FC72FF4D-248D-4291-B7A0-6A90DFF0EA3F}" name="id" dataDxfId="38" totalsRowDxfId="3"/>
    <tableColumn id="2" xr3:uid="{BFA836AD-0FD0-470C-9574-040D8E8CF44A}" name="user_id" dataDxfId="37" totalsRowDxfId="2"/>
    <tableColumn id="3" xr3:uid="{1BC58DB4-B1A5-4793-9894-20379173207B}" name="bank_id" dataDxfId="36" totalsRowDxfId="1"/>
    <tableColumn id="4" xr3:uid="{90F6EA90-A9BC-4549-9C1A-6B8CE3C5CAF1}" name="balance" totalsRowFunction="custom" dataDxfId="35" totalsRowDxfId="0">
      <totalsRowFormula>SUM(Table3[balance])</totalsRowFormula>
    </tableColumn>
    <tableColumn id="5" xr3:uid="{AF74AA07-F182-42F3-8828-C32E6786C2E3}" name="purpo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B211DA3-508F-49BD-BDC8-8A70246CE88B}" name="Table4" displayName="Table4" ref="A1:K36" totalsRowShown="0">
  <autoFilter ref="A1:K36" xr:uid="{8DFC41D8-64F7-4568-9581-A4A165E6C8FF}"/>
  <tableColumns count="11">
    <tableColumn id="1" xr3:uid="{5E359C7C-6644-422F-B05C-8EF48D69F367}" name="S.No" dataDxfId="34" totalsRowDxfId="33"/>
    <tableColumn id="2" xr3:uid="{757C3E82-48B9-41DB-B1FA-CD13752BF34E}" name="account_id" dataDxfId="32" totalsRowDxfId="31"/>
    <tableColumn id="3" xr3:uid="{42B47B3A-95C3-4DE8-8220-39183DBF3468}" name="Invested" dataDxfId="30"/>
    <tableColumn id="4" xr3:uid="{C7366A70-35D3-4800-8A09-515BC5388DBD}" name="Interest Rate" dataDxfId="29" totalsRowDxfId="28"/>
    <tableColumn id="5" xr3:uid="{5D3560D2-531B-4762-9769-E8ACD64F4761}" name="Maturity Date"/>
    <tableColumn id="6" xr3:uid="{997B0C2C-3B66-43E1-B495-C5D1BA4E2C11}" name="Created Date"/>
    <tableColumn id="7" xr3:uid="{8999C824-07CA-48FC-9C7E-DAE9CDF5B7FD}" name="TODAY" dataDxfId="27" totalsRowDxfId="26">
      <calculatedColumnFormula>TODAY()</calculatedColumnFormula>
    </tableColumn>
    <tableColumn id="8" xr3:uid="{9BF25733-5C68-4283-A5CC-76E58A86F7AF}" name="Current Amount" dataDxfId="25">
      <calculatedColumnFormula>(Table4[[#This Row],[invested days]]/36500*Table4[[#This Row],[Interest Rate]]*Table4[[#This Row],[Invested]]) + Table4[[#This Row],[Invested]]</calculatedColumnFormula>
    </tableColumn>
    <tableColumn id="9" xr3:uid="{954CBA2A-5592-4248-A149-91CB2BDB7B35}" name="Days To Mature" dataDxfId="24" totalsRowDxfId="23">
      <calculatedColumnFormula>E2-G2</calculatedColumnFormula>
    </tableColumn>
    <tableColumn id="10" xr3:uid="{BC9C4C9A-966B-47E0-A258-D56038E8A995}" name="invested days" dataDxfId="22">
      <calculatedColumnFormula>_xlfn.NUMBERVALUE(Table4[[#This Row],[TODAY]]-Table4[[#This Row],[Created Date]])</calculatedColumnFormula>
    </tableColumn>
    <tableColumn id="11" xr3:uid="{C306C9AC-2771-4EAE-99E2-80D6769E204B}" name="days diffrence" dataDxfId="21">
      <calculatedColumnFormula>I2-I1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424231E-1A3B-4998-877B-E5561215BA59}" name="Table5" displayName="Table5" ref="A1:K22" totalsRowShown="0">
  <autoFilter ref="A1:K22" xr:uid="{1A2C2465-CFFA-4132-B427-2BF57C3D84EE}"/>
  <sortState xmlns:xlrd2="http://schemas.microsoft.com/office/spreadsheetml/2017/richdata2" ref="A2:K22">
    <sortCondition descending="1" ref="K1:K22"/>
  </sortState>
  <tableColumns count="11">
    <tableColumn id="1" xr3:uid="{29392632-74D8-4C1F-982A-2E95DF6BEE86}" name="S.No"/>
    <tableColumn id="2" xr3:uid="{CDDAF558-A430-476F-9C24-1857E98B1E8B}" name="Symbol"/>
    <tableColumn id="3" xr3:uid="{42D1F168-99E0-418A-9E3E-0115448812A7}" name="Exchange"/>
    <tableColumn id="4" xr3:uid="{60566A49-1720-44FA-B7B1-872BC862686A}" name="ISIN"/>
    <tableColumn id="5" xr3:uid="{57057922-5BF5-495A-92BF-6965B20C29C8}" name="Average Price"/>
    <tableColumn id="6" xr3:uid="{3526CB46-6BC5-409C-A88C-2D55CD654C35}" name="Current Price"/>
    <tableColumn id="7" xr3:uid="{1082033A-DCD1-4110-8874-1DC66CCF7D7B}" name="Quantity"/>
    <tableColumn id="8" xr3:uid="{CC1FA5FC-72F1-427E-8427-FF420DE8A3CD}" name="Source"/>
    <tableColumn id="9" xr3:uid="{5A1BC9AB-281D-447D-94A7-1ECD62B6C06C}" name="Invested" dataDxfId="20">
      <calculatedColumnFormula>Table5[[#This Row],[Average Price]]*Table5[[#This Row],[Quantity]]</calculatedColumnFormula>
    </tableColumn>
    <tableColumn id="10" xr3:uid="{E93CFF81-628F-46A7-B0AA-3EAAFA5C292F}" name="current" dataDxfId="19">
      <calculatedColumnFormula>Table5[[#This Row],[Current Price]]*Table5[[#This Row],[Quantity]]</calculatedColumnFormula>
    </tableColumn>
    <tableColumn id="11" xr3:uid="{4DC395D2-53E8-42CC-AFBD-675876AA0876}" name="Column1" dataDxfId="18">
      <calculatedColumnFormula>Table5[[#This Row],[Current Price]]-Table5[[#This Row],[Average Price]]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55F72A0-DB12-4984-862F-5C53E962E94A}" name="Table7" displayName="Table7" ref="A1:L11" totalsRowShown="0" dataDxfId="17">
  <autoFilter ref="A1:L11" xr:uid="{6F644203-C1C1-4DB2-9663-46291F68AFE7}"/>
  <tableColumns count="12">
    <tableColumn id="1" xr3:uid="{F127C49A-C2F6-46E9-8F53-BAFE036ED111}" name="S.No" dataDxfId="16"/>
    <tableColumn id="2" xr3:uid="{4642C1C5-D86D-4BD6-A9A3-9DA679706C1A}" name="id"/>
    <tableColumn id="3" xr3:uid="{EA5A4C19-74EA-4D52-87D8-D0A3F5D33B55}" name="fund_name"/>
    <tableColumn id="4" xr3:uid="{5A2E588B-26BE-4722-A596-0E368C770D52}" name="scheme_code"/>
    <tableColumn id="5" xr3:uid="{A138D967-C091-4D82-BCD5-EC300D9B31F1}" name="units"/>
    <tableColumn id="6" xr3:uid="{3A604463-44B9-4A30-8527-859A356CCAD8}" name="average_nav"/>
    <tableColumn id="7" xr3:uid="{57935FB3-F438-4AF0-B5D2-5D89122F3C4C}" name="nav_synced_at"/>
    <tableColumn id="8" xr3:uid="{C638FFDA-94ED-4D91-B8C3-149B9085BF53}" name="latest_nav"/>
    <tableColumn id="9" xr3:uid="{0151F1C5-532C-4D98-94D9-CE34BC112438}" name="nav_date"/>
    <tableColumn id="10" xr3:uid="{69731B32-5278-4E4E-B3A2-6F1A95D14679}" name="sip"/>
    <tableColumn id="11" xr3:uid="{95D0BA28-5DF9-4BE2-8BF7-C2C1ED0C5084}" name="Invested" dataDxfId="15">
      <calculatedColumnFormula>Table7[[#This Row],[average_nav]]*Table7[[#This Row],[units]]</calculatedColumnFormula>
    </tableColumn>
    <tableColumn id="12" xr3:uid="{A098199E-E9C3-4E6A-AF5B-15CD0322630E}" name="Current" dataDxfId="14">
      <calculatedColumnFormula>Table7[[#This Row],[latest_nav]]*Table7[[#This Row],[units]]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F5CDCB-0227-4CE1-96AB-1464813A661F}" name="Table8" displayName="Table8" ref="A1:C11" totalsRowShown="0">
  <autoFilter ref="A1:C11" xr:uid="{85550AFC-AE2A-469D-8C07-79CD3B413C95}"/>
  <tableColumns count="3">
    <tableColumn id="1" xr3:uid="{B76C7670-7E61-4AF9-B39D-8C20B4447942}" name="SNO"/>
    <tableColumn id="2" xr3:uid="{F419035E-6CDB-4097-9CEE-E9723380BB84}" name="Type"/>
    <tableColumn id="3" xr3:uid="{A663A698-6D49-49FA-9E29-5FB9EEDEF108}" name="Amou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B721C6-8217-46EA-9CB6-12659F2BFC36}" name="Table9" displayName="Table9" ref="A1:D9" totalsRowCount="1">
  <autoFilter ref="A1:D8" xr:uid="{111C8EBC-7A2D-4CC5-A879-75B1BAA7645D}"/>
  <tableColumns count="4">
    <tableColumn id="1" xr3:uid="{EB4348AE-6EC0-47B2-8224-999A95CE310F}" name="S.No" dataDxfId="13" totalsRowDxfId="6"/>
    <tableColumn id="2" xr3:uid="{AC15ADE5-1353-4EEA-BE04-4B277C82DC60}" name="Borrower"/>
    <tableColumn id="3" xr3:uid="{1DDDBFCD-4BB8-4C8E-B682-60CC0968DEA9}" name="Amount" totalsRowFunction="custom" dataDxfId="12" totalsRowDxfId="5">
      <totalsRowFormula>SUM(Table9[Amount])</totalsRowFormula>
    </tableColumn>
    <tableColumn id="4" xr3:uid="{3DBBC7D7-BA0C-4564-98C3-ECA9A6F6FA5F}" name="Interest Rate" dataDxfId="11" totalsRowDxfId="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3AF7622-281A-487F-8DD7-8B7707350B0D}" name="Table10" displayName="Table10" ref="C1:G8" totalsRowShown="0">
  <autoFilter ref="C1:G8" xr:uid="{8315D400-456A-44F9-A023-54B4551D77ED}"/>
  <tableColumns count="5">
    <tableColumn id="1" xr3:uid="{86825EE5-5D5F-4CF0-AB5F-A42F4FBCCECB}" name="S.No"/>
    <tableColumn id="2" xr3:uid="{D28741E3-9E92-4A0E-B2D3-E18946335933}" name="Income Type"/>
    <tableColumn id="3" xr3:uid="{BFBC1531-6035-499B-9621-BA3E745CAFC5}" name="Amount"/>
    <tableColumn id="4" xr3:uid="{C0CAE55B-59BB-4ECA-A2ED-9B4F5A9B46E8}" name="Person"/>
    <tableColumn id="5" xr3:uid="{25228A1F-51BC-4CC7-830A-C30E4FA9AB45}" name="Sour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6E798B8-177F-4521-A09F-1466D87F3AEC}" name="Table6" displayName="Table6" ref="A1:D8" totalsRowCount="1">
  <autoFilter ref="A1:D7" xr:uid="{00A1A986-D773-4AC7-9248-5655021C7C04}"/>
  <tableColumns count="4">
    <tableColumn id="1" xr3:uid="{60E2BE4A-BF9C-4F63-AF90-CAE2E411C201}" name="Spending Type"/>
    <tableColumn id="2" xr3:uid="{4E026AD4-5C62-4EE5-B4AD-39440802E3F9}" name="Amount" totalsRowFunction="custom" dataDxfId="10" totalsRowDxfId="9">
      <totalsRowFormula>SUM(Table6[Amount])</totalsRowFormula>
    </tableColumn>
    <tableColumn id="3" xr3:uid="{63CA58E3-4990-483C-8F2E-7A687EBE2722}" name="Person"/>
    <tableColumn id="4" xr3:uid="{20CE725F-EEF3-4D69-AF46-1CAF7978AEA0}" name="Recipi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288F9A-4730-4D86-A873-29EC0C14D6D9}" name="Table12" displayName="Table12" ref="A1:B8" totalsRowCount="1">
  <autoFilter ref="A1:B7" xr:uid="{E75938B2-6DD9-4A29-BA86-8D8B50A6C9F4}"/>
  <tableColumns count="2">
    <tableColumn id="1" xr3:uid="{DF10BC0A-2099-4906-A7AB-62C0916746B3}" name="Label"/>
    <tableColumn id="2" xr3:uid="{848C545C-47EE-4883-AE2A-B47C8FCE9A59}" name="Amount" totalsRowFunction="custom" dataDxfId="8" totalsRowDxfId="7">
      <totalsRowFormula>SUM(Table12[Amount])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F20" sqref="F20"/>
    </sheetView>
  </sheetViews>
  <sheetFormatPr defaultRowHeight="14.4"/>
  <sheetData>
    <row r="1" spans="1:2">
      <c r="A1" t="s">
        <v>0</v>
      </c>
      <c r="B1" t="s">
        <v>28</v>
      </c>
    </row>
    <row r="2" spans="1:2">
      <c r="A2" s="1">
        <v>1</v>
      </c>
      <c r="B2" t="s">
        <v>29</v>
      </c>
    </row>
    <row r="3" spans="1:2">
      <c r="A3" s="1">
        <v>2</v>
      </c>
      <c r="B3" t="s">
        <v>30</v>
      </c>
    </row>
    <row r="4" spans="1:2">
      <c r="A4" s="1">
        <v>3</v>
      </c>
      <c r="B4" t="s">
        <v>31</v>
      </c>
    </row>
    <row r="5" spans="1:2">
      <c r="A5" s="1">
        <v>4</v>
      </c>
      <c r="B5" t="s">
        <v>32</v>
      </c>
    </row>
    <row r="6" spans="1:2">
      <c r="A6" s="1">
        <v>5</v>
      </c>
      <c r="B6" t="s">
        <v>33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workbookViewId="0">
      <selection activeCell="C29" sqref="C29"/>
    </sheetView>
  </sheetViews>
  <sheetFormatPr defaultRowHeight="14.4"/>
  <cols>
    <col min="2" max="2" width="11.33203125" customWidth="1"/>
    <col min="3" max="3" width="11.21875" customWidth="1"/>
    <col min="5" max="5" width="15.88671875" customWidth="1"/>
    <col min="6" max="6" width="17.21875" customWidth="1"/>
    <col min="7" max="7" width="19.21875" customWidth="1"/>
    <col min="8" max="8" width="21.88671875" customWidth="1"/>
    <col min="9" max="9" width="21.6640625" customWidth="1"/>
    <col min="10" max="10" width="16.77734375" customWidth="1"/>
    <col min="11" max="11" width="20" customWidth="1"/>
    <col min="12" max="12" width="25.109375" customWidth="1"/>
    <col min="13" max="13" width="22.21875" customWidth="1"/>
    <col min="14" max="14" width="21" customWidth="1"/>
    <col min="15" max="15" width="11.886718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s="1">
        <v>1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25</v>
      </c>
      <c r="N2" t="s">
        <v>25</v>
      </c>
      <c r="O2" t="s">
        <v>25</v>
      </c>
    </row>
    <row r="3" spans="1:15">
      <c r="A3" s="1">
        <v>2</v>
      </c>
      <c r="B3" t="s">
        <v>26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H3" t="s">
        <v>27</v>
      </c>
      <c r="I3" t="s">
        <v>27</v>
      </c>
      <c r="J3" t="s">
        <v>27</v>
      </c>
      <c r="K3" t="s">
        <v>27</v>
      </c>
      <c r="L3" t="s">
        <v>27</v>
      </c>
      <c r="M3" t="s">
        <v>27</v>
      </c>
      <c r="N3" t="s">
        <v>27</v>
      </c>
      <c r="O3" t="s">
        <v>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topLeftCell="E1" workbookViewId="0">
      <selection activeCell="K20" sqref="K20"/>
    </sheetView>
  </sheetViews>
  <sheetFormatPr defaultRowHeight="14.4"/>
  <cols>
    <col min="2" max="2" width="9" customWidth="1"/>
    <col min="3" max="3" width="9.6640625" customWidth="1"/>
    <col min="4" max="4" width="9.44140625" customWidth="1"/>
    <col min="5" max="5" width="9.77734375" customWidth="1"/>
  </cols>
  <sheetData>
    <row r="1" spans="1:5">
      <c r="A1" t="s">
        <v>0</v>
      </c>
      <c r="B1" t="s">
        <v>34</v>
      </c>
      <c r="C1" t="s">
        <v>35</v>
      </c>
      <c r="D1" t="s">
        <v>36</v>
      </c>
      <c r="E1" t="s">
        <v>37</v>
      </c>
    </row>
    <row r="2" spans="1:5">
      <c r="A2" s="1">
        <v>1</v>
      </c>
      <c r="B2" s="1">
        <v>1</v>
      </c>
      <c r="C2" s="1">
        <v>1</v>
      </c>
      <c r="D2" s="1">
        <v>66449.61</v>
      </c>
      <c r="E2" t="s">
        <v>40</v>
      </c>
    </row>
    <row r="3" spans="1:5">
      <c r="A3" s="1">
        <v>2</v>
      </c>
      <c r="B3" s="1">
        <v>1</v>
      </c>
      <c r="C3" s="1">
        <v>2</v>
      </c>
      <c r="D3" s="1">
        <v>3086.6</v>
      </c>
      <c r="E3" t="s">
        <v>38</v>
      </c>
    </row>
    <row r="4" spans="1:5">
      <c r="A4" s="1">
        <v>3</v>
      </c>
      <c r="B4" s="1">
        <v>1</v>
      </c>
      <c r="C4" s="1">
        <v>3</v>
      </c>
      <c r="D4" s="1">
        <v>662.84</v>
      </c>
      <c r="E4" t="s">
        <v>39</v>
      </c>
    </row>
    <row r="5" spans="1:5">
      <c r="A5" s="1">
        <v>4</v>
      </c>
      <c r="B5" s="1">
        <v>2</v>
      </c>
      <c r="C5" s="1">
        <v>4</v>
      </c>
      <c r="D5" s="1">
        <v>75342.44</v>
      </c>
      <c r="E5" t="s">
        <v>40</v>
      </c>
    </row>
    <row r="6" spans="1:5">
      <c r="A6" s="1">
        <v>5</v>
      </c>
      <c r="B6" s="1">
        <v>2</v>
      </c>
      <c r="C6" s="1">
        <v>2</v>
      </c>
      <c r="D6" s="1">
        <v>5340.29</v>
      </c>
      <c r="E6" t="s">
        <v>41</v>
      </c>
    </row>
    <row r="7" spans="1:5">
      <c r="A7" s="1">
        <v>6</v>
      </c>
      <c r="B7" s="1">
        <v>2</v>
      </c>
      <c r="C7" s="1">
        <v>3</v>
      </c>
      <c r="D7" s="1">
        <v>9711.18</v>
      </c>
      <c r="E7" t="s">
        <v>39</v>
      </c>
    </row>
    <row r="8" spans="1:5">
      <c r="A8" s="1"/>
      <c r="B8" s="1"/>
      <c r="C8" s="1"/>
      <c r="D8" s="1">
        <f>SUM(Table3[balance])</f>
        <v>160592.95999999999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9"/>
  <sheetViews>
    <sheetView workbookViewId="0">
      <selection activeCell="M4" sqref="M4"/>
    </sheetView>
  </sheetViews>
  <sheetFormatPr defaultRowHeight="14.4"/>
  <cols>
    <col min="2" max="2" width="12.21875" customWidth="1"/>
    <col min="3" max="3" width="10.109375" customWidth="1"/>
    <col min="4" max="4" width="13.5546875" customWidth="1"/>
    <col min="5" max="5" width="14.5546875" customWidth="1"/>
    <col min="6" max="6" width="13.77734375" customWidth="1"/>
    <col min="7" max="7" width="10.33203125" bestFit="1" customWidth="1"/>
    <col min="8" max="8" width="16.5546875" customWidth="1"/>
    <col min="9" max="9" width="16.109375" customWidth="1"/>
  </cols>
  <sheetData>
    <row r="1" spans="1:11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s="15" t="s">
        <v>271</v>
      </c>
      <c r="K1" s="15" t="s">
        <v>272</v>
      </c>
    </row>
    <row r="2" spans="1:11">
      <c r="A2" s="1">
        <v>1</v>
      </c>
      <c r="B2" s="1">
        <v>6</v>
      </c>
      <c r="C2" s="1">
        <v>100000</v>
      </c>
      <c r="D2" s="1">
        <v>7.99</v>
      </c>
      <c r="E2" t="s">
        <v>51</v>
      </c>
      <c r="F2" t="s">
        <v>52</v>
      </c>
      <c r="G2" s="4">
        <f ca="1">TODAY()</f>
        <v>46153</v>
      </c>
      <c r="H2" s="1">
        <f ca="1">(Table4[[#This Row],[invested days]]/36500*Table4[[#This Row],[Interest Rate]]*Table4[[#This Row],[Invested]]) + Table4[[#This Row],[Invested]]</f>
        <v>111186</v>
      </c>
      <c r="I2" s="1">
        <f ca="1">E2-G2</f>
        <v>5</v>
      </c>
      <c r="J2">
        <f ca="1">_xlfn.NUMBERVALUE(Table4[[#This Row],[TODAY]]-Table4[[#This Row],[Created Date]])</f>
        <v>511</v>
      </c>
      <c r="K2" s="1">
        <v>8</v>
      </c>
    </row>
    <row r="3" spans="1:11">
      <c r="A3" s="1">
        <v>2</v>
      </c>
      <c r="B3" s="1">
        <v>6</v>
      </c>
      <c r="C3" s="1">
        <v>100000</v>
      </c>
      <c r="D3" s="1">
        <v>7.99</v>
      </c>
      <c r="E3" t="s">
        <v>53</v>
      </c>
      <c r="F3" t="s">
        <v>54</v>
      </c>
      <c r="G3" s="4">
        <f t="shared" ref="G3:G36" ca="1" si="0">TODAY()</f>
        <v>46153</v>
      </c>
      <c r="H3" s="1">
        <f ca="1">(Table4[[#This Row],[invested days]]/36500*Table4[[#This Row],[Interest Rate]]*Table4[[#This Row],[Invested]]) + Table4[[#This Row],[Invested]]</f>
        <v>111164.10958904109</v>
      </c>
      <c r="I3" s="1">
        <f t="shared" ref="I3:I36" ca="1" si="1">E3-G3</f>
        <v>6</v>
      </c>
      <c r="J3">
        <f ca="1">_xlfn.NUMBERVALUE(Table4[[#This Row],[TODAY]]-Table4[[#This Row],[Created Date]])</f>
        <v>510</v>
      </c>
      <c r="K3" s="1">
        <f t="shared" ref="K3:K36" ca="1" si="2">I3-I2</f>
        <v>1</v>
      </c>
    </row>
    <row r="4" spans="1:11">
      <c r="A4" s="1">
        <v>3</v>
      </c>
      <c r="B4" s="1">
        <v>3</v>
      </c>
      <c r="C4" s="1">
        <v>78248</v>
      </c>
      <c r="D4" s="1">
        <v>7.75</v>
      </c>
      <c r="E4" t="s">
        <v>55</v>
      </c>
      <c r="F4" t="s">
        <v>56</v>
      </c>
      <c r="G4" s="4">
        <f t="shared" ca="1" si="0"/>
        <v>46153</v>
      </c>
      <c r="H4" s="1">
        <f ca="1">(Table4[[#This Row],[invested days]]/36500*Table4[[#This Row],[Interest Rate]]*Table4[[#This Row],[Invested]]) + Table4[[#This Row],[Invested]]</f>
        <v>83913.476767123284</v>
      </c>
      <c r="I4" s="1">
        <f t="shared" ca="1" si="1"/>
        <v>24</v>
      </c>
      <c r="J4">
        <f ca="1">_xlfn.NUMBERVALUE(Table4[[#This Row],[TODAY]]-Table4[[#This Row],[Created Date]])</f>
        <v>341</v>
      </c>
      <c r="K4" s="1">
        <f t="shared" ca="1" si="2"/>
        <v>18</v>
      </c>
    </row>
    <row r="5" spans="1:11">
      <c r="A5" s="1">
        <v>4</v>
      </c>
      <c r="B5" s="1">
        <v>1</v>
      </c>
      <c r="C5" s="1">
        <v>100000</v>
      </c>
      <c r="D5" s="1">
        <v>7.25</v>
      </c>
      <c r="E5" t="s">
        <v>57</v>
      </c>
      <c r="F5" t="s">
        <v>58</v>
      </c>
      <c r="G5" s="4">
        <f t="shared" ca="1" si="0"/>
        <v>46153</v>
      </c>
      <c r="H5" s="1">
        <f ca="1">(Table4[[#This Row],[invested days]]/36500*Table4[[#This Row],[Interest Rate]]*Table4[[#This Row],[Invested]]) + Table4[[#This Row],[Invested]]</f>
        <v>110070.54794520549</v>
      </c>
      <c r="I5" s="1">
        <f t="shared" ca="1" si="1"/>
        <v>40</v>
      </c>
      <c r="J5">
        <f ca="1">_xlfn.NUMBERVALUE(Table4[[#This Row],[TODAY]]-Table4[[#This Row],[Created Date]])</f>
        <v>507</v>
      </c>
      <c r="K5" s="1">
        <f t="shared" ca="1" si="2"/>
        <v>16</v>
      </c>
    </row>
    <row r="6" spans="1:11">
      <c r="A6" s="1">
        <v>5</v>
      </c>
      <c r="B6" s="1">
        <v>3</v>
      </c>
      <c r="C6" s="1">
        <v>100000</v>
      </c>
      <c r="D6" s="1">
        <v>7</v>
      </c>
      <c r="E6" t="s">
        <v>59</v>
      </c>
      <c r="F6" t="s">
        <v>60</v>
      </c>
      <c r="G6" s="4">
        <f t="shared" ca="1" si="0"/>
        <v>46153</v>
      </c>
      <c r="H6" s="1">
        <f ca="1">(Table4[[#This Row],[invested days]]/36500*Table4[[#This Row],[Interest Rate]]*Table4[[#This Row],[Invested]]) + Table4[[#This Row],[Invested]]</f>
        <v>106213.69863013699</v>
      </c>
      <c r="I6" s="1">
        <f t="shared" ca="1" si="1"/>
        <v>70</v>
      </c>
      <c r="J6">
        <f ca="1">_xlfn.NUMBERVALUE(Table4[[#This Row],[TODAY]]-Table4[[#This Row],[Created Date]])</f>
        <v>324</v>
      </c>
      <c r="K6" s="1">
        <f t="shared" ca="1" si="2"/>
        <v>30</v>
      </c>
    </row>
    <row r="7" spans="1:11">
      <c r="A7" s="1">
        <v>6</v>
      </c>
      <c r="B7" s="1">
        <v>3</v>
      </c>
      <c r="C7" s="1">
        <v>100000</v>
      </c>
      <c r="D7" s="1">
        <v>7</v>
      </c>
      <c r="E7" t="s">
        <v>61</v>
      </c>
      <c r="F7" t="s">
        <v>62</v>
      </c>
      <c r="G7" s="4">
        <f t="shared" ca="1" si="0"/>
        <v>46153</v>
      </c>
      <c r="H7" s="1">
        <f ca="1">(Table4[[#This Row],[invested days]]/36500*Table4[[#This Row],[Interest Rate]]*Table4[[#This Row],[Invested]]) + Table4[[#This Row],[Invested]]</f>
        <v>105945.20547945205</v>
      </c>
      <c r="I7" s="1">
        <f t="shared" ca="1" si="1"/>
        <v>86</v>
      </c>
      <c r="J7">
        <f ca="1">_xlfn.NUMBERVALUE(Table4[[#This Row],[TODAY]]-Table4[[#This Row],[Created Date]])</f>
        <v>310</v>
      </c>
      <c r="K7" s="1">
        <f t="shared" ca="1" si="2"/>
        <v>16</v>
      </c>
    </row>
    <row r="8" spans="1:11">
      <c r="A8" s="1">
        <v>7</v>
      </c>
      <c r="B8" s="1">
        <v>3</v>
      </c>
      <c r="C8" s="1">
        <v>100000</v>
      </c>
      <c r="D8" s="1">
        <v>7</v>
      </c>
      <c r="E8" t="s">
        <v>61</v>
      </c>
      <c r="F8" t="s">
        <v>60</v>
      </c>
      <c r="G8" s="4">
        <f t="shared" ca="1" si="0"/>
        <v>46153</v>
      </c>
      <c r="H8" s="1">
        <f ca="1">(Table4[[#This Row],[invested days]]/36500*Table4[[#This Row],[Interest Rate]]*Table4[[#This Row],[Invested]]) + Table4[[#This Row],[Invested]]</f>
        <v>106213.69863013699</v>
      </c>
      <c r="I8" s="1">
        <f t="shared" ca="1" si="1"/>
        <v>86</v>
      </c>
      <c r="J8">
        <f ca="1">_xlfn.NUMBERVALUE(Table4[[#This Row],[TODAY]]-Table4[[#This Row],[Created Date]])</f>
        <v>324</v>
      </c>
      <c r="K8" s="1">
        <f t="shared" ca="1" si="2"/>
        <v>0</v>
      </c>
    </row>
    <row r="9" spans="1:11">
      <c r="A9" s="1">
        <v>8</v>
      </c>
      <c r="B9" s="1">
        <v>3</v>
      </c>
      <c r="C9" s="1">
        <v>100000</v>
      </c>
      <c r="D9" s="1">
        <v>7</v>
      </c>
      <c r="E9" t="s">
        <v>63</v>
      </c>
      <c r="F9" t="s">
        <v>60</v>
      </c>
      <c r="G9" s="4">
        <f t="shared" ca="1" si="0"/>
        <v>46153</v>
      </c>
      <c r="H9" s="1">
        <f ca="1">(Table4[[#This Row],[invested days]]/36500*Table4[[#This Row],[Interest Rate]]*Table4[[#This Row],[Invested]]) + Table4[[#This Row],[Invested]]</f>
        <v>106213.69863013699</v>
      </c>
      <c r="I9" s="1">
        <f t="shared" ca="1" si="1"/>
        <v>102</v>
      </c>
      <c r="J9">
        <f ca="1">_xlfn.NUMBERVALUE(Table4[[#This Row],[TODAY]]-Table4[[#This Row],[Created Date]])</f>
        <v>324</v>
      </c>
      <c r="K9" s="1">
        <f t="shared" ca="1" si="2"/>
        <v>16</v>
      </c>
    </row>
    <row r="10" spans="1:11">
      <c r="A10" s="1">
        <v>9</v>
      </c>
      <c r="B10" s="1">
        <v>1</v>
      </c>
      <c r="C10" s="1">
        <v>100000</v>
      </c>
      <c r="D10" s="1">
        <v>6.85</v>
      </c>
      <c r="E10" t="s">
        <v>64</v>
      </c>
      <c r="F10" t="s">
        <v>65</v>
      </c>
      <c r="G10" s="4">
        <f t="shared" ca="1" si="0"/>
        <v>46153</v>
      </c>
      <c r="H10" s="1">
        <f ca="1">(Table4[[#This Row],[invested days]]/36500*Table4[[#This Row],[Interest Rate]]*Table4[[#This Row],[Invested]]) + Table4[[#This Row],[Invested]]</f>
        <v>106437.12328767123</v>
      </c>
      <c r="I10" s="1">
        <f t="shared" ca="1" si="1"/>
        <v>114</v>
      </c>
      <c r="J10">
        <f ca="1">_xlfn.NUMBERVALUE(Table4[[#This Row],[TODAY]]-Table4[[#This Row],[Created Date]])</f>
        <v>343</v>
      </c>
      <c r="K10" s="1">
        <f t="shared" ca="1" si="2"/>
        <v>12</v>
      </c>
    </row>
    <row r="11" spans="1:11">
      <c r="A11" s="1">
        <v>10</v>
      </c>
      <c r="B11" s="1">
        <v>6</v>
      </c>
      <c r="C11" s="1">
        <v>100000</v>
      </c>
      <c r="D11" s="1">
        <v>7</v>
      </c>
      <c r="E11" t="s">
        <v>66</v>
      </c>
      <c r="F11" t="s">
        <v>67</v>
      </c>
      <c r="G11" s="4">
        <f t="shared" ca="1" si="0"/>
        <v>46153</v>
      </c>
      <c r="H11" s="1">
        <f ca="1">(Table4[[#This Row],[invested days]]/36500*Table4[[#This Row],[Interest Rate]]*Table4[[#This Row],[Invested]]) + Table4[[#This Row],[Invested]]</f>
        <v>112216.43835616438</v>
      </c>
      <c r="I11" s="1">
        <f t="shared" ca="1" si="1"/>
        <v>124</v>
      </c>
      <c r="J11">
        <f ca="1">_xlfn.NUMBERVALUE(Table4[[#This Row],[TODAY]]-Table4[[#This Row],[Created Date]])</f>
        <v>637</v>
      </c>
      <c r="K11" s="1">
        <f t="shared" ca="1" si="2"/>
        <v>10</v>
      </c>
    </row>
    <row r="12" spans="1:11">
      <c r="A12" s="1">
        <v>11</v>
      </c>
      <c r="B12" s="1">
        <v>6</v>
      </c>
      <c r="C12" s="1">
        <v>100000</v>
      </c>
      <c r="D12" s="1">
        <v>7</v>
      </c>
      <c r="E12" t="s">
        <v>68</v>
      </c>
      <c r="F12" t="s">
        <v>69</v>
      </c>
      <c r="G12" s="4">
        <f t="shared" ca="1" si="0"/>
        <v>46153</v>
      </c>
      <c r="H12" s="1">
        <f ca="1">(Table4[[#This Row],[invested days]]/36500*Table4[[#This Row],[Interest Rate]]*Table4[[#This Row],[Invested]]) + Table4[[#This Row],[Invested]]</f>
        <v>105101.36986301369</v>
      </c>
      <c r="I12" s="1">
        <f t="shared" ca="1" si="1"/>
        <v>130</v>
      </c>
      <c r="J12">
        <f ca="1">_xlfn.NUMBERVALUE(Table4[[#This Row],[TODAY]]-Table4[[#This Row],[Created Date]])</f>
        <v>266</v>
      </c>
      <c r="K12" s="1">
        <f t="shared" ca="1" si="2"/>
        <v>6</v>
      </c>
    </row>
    <row r="13" spans="1:11">
      <c r="A13" s="1">
        <v>12</v>
      </c>
      <c r="B13" s="1">
        <v>1</v>
      </c>
      <c r="C13" s="1">
        <v>100000</v>
      </c>
      <c r="D13" s="1">
        <v>6.85</v>
      </c>
      <c r="E13" t="s">
        <v>70</v>
      </c>
      <c r="F13" t="s">
        <v>65</v>
      </c>
      <c r="G13" s="4">
        <f t="shared" ca="1" si="0"/>
        <v>46153</v>
      </c>
      <c r="H13" s="1">
        <f ca="1">(Table4[[#This Row],[invested days]]/36500*Table4[[#This Row],[Interest Rate]]*Table4[[#This Row],[Invested]]) + Table4[[#This Row],[Invested]]</f>
        <v>106437.12328767123</v>
      </c>
      <c r="I13" s="1">
        <f t="shared" ca="1" si="1"/>
        <v>144</v>
      </c>
      <c r="J13">
        <f ca="1">_xlfn.NUMBERVALUE(Table4[[#This Row],[TODAY]]-Table4[[#This Row],[Created Date]])</f>
        <v>343</v>
      </c>
      <c r="K13" s="1">
        <f t="shared" ca="1" si="2"/>
        <v>14</v>
      </c>
    </row>
    <row r="14" spans="1:11">
      <c r="A14" s="1">
        <v>13</v>
      </c>
      <c r="B14" s="1">
        <v>1</v>
      </c>
      <c r="C14" s="1">
        <v>100000</v>
      </c>
      <c r="D14" s="1">
        <v>5.75</v>
      </c>
      <c r="E14" t="s">
        <v>71</v>
      </c>
      <c r="F14" t="s">
        <v>72</v>
      </c>
      <c r="G14" s="4">
        <f t="shared" ca="1" si="0"/>
        <v>46153</v>
      </c>
      <c r="H14" s="1">
        <f ca="1">(Table4[[#This Row],[invested days]]/36500*Table4[[#This Row],[Interest Rate]]*Table4[[#This Row],[Invested]]) + Table4[[#This Row],[Invested]]</f>
        <v>102000.68493150685</v>
      </c>
      <c r="I14" s="1">
        <f t="shared" ca="1" si="1"/>
        <v>177</v>
      </c>
      <c r="J14">
        <f ca="1">_xlfn.NUMBERVALUE(Table4[[#This Row],[TODAY]]-Table4[[#This Row],[Created Date]])</f>
        <v>127</v>
      </c>
      <c r="K14" s="1">
        <f t="shared" ca="1" si="2"/>
        <v>33</v>
      </c>
    </row>
    <row r="15" spans="1:11">
      <c r="A15" s="1">
        <v>14</v>
      </c>
      <c r="B15" s="1">
        <v>1</v>
      </c>
      <c r="C15" s="1">
        <v>100000</v>
      </c>
      <c r="D15" s="1">
        <v>5.75</v>
      </c>
      <c r="E15" t="s">
        <v>73</v>
      </c>
      <c r="F15" t="s">
        <v>72</v>
      </c>
      <c r="G15" s="4">
        <f t="shared" ca="1" si="0"/>
        <v>46153</v>
      </c>
      <c r="H15" s="1">
        <f ca="1">(Table4[[#This Row],[invested days]]/36500*Table4[[#This Row],[Interest Rate]]*Table4[[#This Row],[Invested]]) + Table4[[#This Row],[Invested]]</f>
        <v>102000.68493150685</v>
      </c>
      <c r="I15" s="1">
        <f t="shared" ca="1" si="1"/>
        <v>207</v>
      </c>
      <c r="J15">
        <f ca="1">_xlfn.NUMBERVALUE(Table4[[#This Row],[TODAY]]-Table4[[#This Row],[Created Date]])</f>
        <v>127</v>
      </c>
      <c r="K15" s="1">
        <f t="shared" ca="1" si="2"/>
        <v>30</v>
      </c>
    </row>
    <row r="16" spans="1:11">
      <c r="A16" s="1">
        <v>15</v>
      </c>
      <c r="B16" s="1">
        <v>3</v>
      </c>
      <c r="C16" s="1">
        <v>100000</v>
      </c>
      <c r="D16" s="1">
        <v>6.75</v>
      </c>
      <c r="E16" t="s">
        <v>74</v>
      </c>
      <c r="F16" t="s">
        <v>72</v>
      </c>
      <c r="G16" s="4">
        <f t="shared" ca="1" si="0"/>
        <v>46153</v>
      </c>
      <c r="H16" s="1">
        <f ca="1">(Table4[[#This Row],[invested days]]/36500*Table4[[#This Row],[Interest Rate]]*Table4[[#This Row],[Invested]]) + Table4[[#This Row],[Invested]]</f>
        <v>102348.63013698631</v>
      </c>
      <c r="I16" s="1">
        <f t="shared" ca="1" si="1"/>
        <v>238</v>
      </c>
      <c r="J16">
        <f ca="1">_xlfn.NUMBERVALUE(Table4[[#This Row],[TODAY]]-Table4[[#This Row],[Created Date]])</f>
        <v>127</v>
      </c>
      <c r="K16" s="1">
        <f t="shared" ca="1" si="2"/>
        <v>31</v>
      </c>
    </row>
    <row r="17" spans="1:11">
      <c r="A17" s="1">
        <v>16</v>
      </c>
      <c r="B17" s="1">
        <v>3</v>
      </c>
      <c r="C17" s="1">
        <v>200000</v>
      </c>
      <c r="D17" s="1">
        <v>6.75</v>
      </c>
      <c r="E17" t="s">
        <v>75</v>
      </c>
      <c r="F17" t="s">
        <v>76</v>
      </c>
      <c r="G17" s="4">
        <f t="shared" ca="1" si="0"/>
        <v>46153</v>
      </c>
      <c r="H17" s="1">
        <f ca="1">(Table4[[#This Row],[invested days]]/36500*Table4[[#This Row],[Interest Rate]]*Table4[[#This Row],[Invested]]) + Table4[[#This Row],[Invested]]</f>
        <v>203846.57534246575</v>
      </c>
      <c r="I17" s="1">
        <f t="shared" ca="1" si="1"/>
        <v>263</v>
      </c>
      <c r="J17">
        <f ca="1">_xlfn.NUMBERVALUE(Table4[[#This Row],[TODAY]]-Table4[[#This Row],[Created Date]])</f>
        <v>104</v>
      </c>
      <c r="K17" s="1">
        <f t="shared" ca="1" si="2"/>
        <v>25</v>
      </c>
    </row>
    <row r="18" spans="1:11">
      <c r="A18" s="1">
        <v>17</v>
      </c>
      <c r="B18" s="1">
        <v>3</v>
      </c>
      <c r="C18" s="1">
        <v>100000</v>
      </c>
      <c r="D18" s="1">
        <v>6.75</v>
      </c>
      <c r="E18" t="s">
        <v>77</v>
      </c>
      <c r="F18" t="s">
        <v>72</v>
      </c>
      <c r="G18" s="4">
        <f t="shared" ca="1" si="0"/>
        <v>46153</v>
      </c>
      <c r="H18" s="1">
        <f ca="1">(Table4[[#This Row],[invested days]]/36500*Table4[[#This Row],[Interest Rate]]*Table4[[#This Row],[Invested]]) + Table4[[#This Row],[Invested]]</f>
        <v>102348.63013698631</v>
      </c>
      <c r="I18" s="1">
        <f t="shared" ca="1" si="1"/>
        <v>269</v>
      </c>
      <c r="J18">
        <f ca="1">_xlfn.NUMBERVALUE(Table4[[#This Row],[TODAY]]-Table4[[#This Row],[Created Date]])</f>
        <v>127</v>
      </c>
      <c r="K18" s="1">
        <f t="shared" ca="1" si="2"/>
        <v>6</v>
      </c>
    </row>
    <row r="19" spans="1:11">
      <c r="A19" s="1">
        <v>18</v>
      </c>
      <c r="B19" s="1">
        <v>1</v>
      </c>
      <c r="C19" s="1">
        <v>200000</v>
      </c>
      <c r="D19" s="1">
        <v>6.25</v>
      </c>
      <c r="E19" t="s">
        <v>78</v>
      </c>
      <c r="F19" t="s">
        <v>72</v>
      </c>
      <c r="G19" s="4">
        <f t="shared" ca="1" si="0"/>
        <v>46153</v>
      </c>
      <c r="H19" s="1">
        <f ca="1">(Table4[[#This Row],[invested days]]/36500*Table4[[#This Row],[Interest Rate]]*Table4[[#This Row],[Invested]]) + Table4[[#This Row],[Invested]]</f>
        <v>204349.31506849316</v>
      </c>
      <c r="I19" s="1">
        <f t="shared" ca="1" si="1"/>
        <v>283</v>
      </c>
      <c r="J19">
        <f ca="1">_xlfn.NUMBERVALUE(Table4[[#This Row],[TODAY]]-Table4[[#This Row],[Created Date]])</f>
        <v>127</v>
      </c>
      <c r="K19" s="1">
        <f t="shared" ca="1" si="2"/>
        <v>14</v>
      </c>
    </row>
    <row r="20" spans="1:11">
      <c r="A20" s="1">
        <v>19</v>
      </c>
      <c r="B20" s="1">
        <v>1</v>
      </c>
      <c r="C20" s="1">
        <v>100000</v>
      </c>
      <c r="D20" s="1">
        <v>6.25</v>
      </c>
      <c r="E20" t="s">
        <v>79</v>
      </c>
      <c r="F20" t="s">
        <v>72</v>
      </c>
      <c r="G20" s="4">
        <f t="shared" ca="1" si="0"/>
        <v>46153</v>
      </c>
      <c r="H20" s="1">
        <f ca="1">(Table4[[#This Row],[invested days]]/36500*Table4[[#This Row],[Interest Rate]]*Table4[[#This Row],[Invested]]) + Table4[[#This Row],[Invested]]</f>
        <v>102174.65753424658</v>
      </c>
      <c r="I20" s="1">
        <f t="shared" ca="1" si="1"/>
        <v>297</v>
      </c>
      <c r="J20">
        <f ca="1">_xlfn.NUMBERVALUE(Table4[[#This Row],[TODAY]]-Table4[[#This Row],[Created Date]])</f>
        <v>127</v>
      </c>
      <c r="K20" s="1">
        <f t="shared" ca="1" si="2"/>
        <v>14</v>
      </c>
    </row>
    <row r="21" spans="1:11">
      <c r="A21" s="1">
        <v>20</v>
      </c>
      <c r="B21" s="1">
        <v>1</v>
      </c>
      <c r="C21" s="1">
        <v>150000</v>
      </c>
      <c r="D21" s="1">
        <v>6.25</v>
      </c>
      <c r="E21" t="s">
        <v>80</v>
      </c>
      <c r="F21" t="s">
        <v>81</v>
      </c>
      <c r="G21" s="4">
        <f t="shared" ca="1" si="0"/>
        <v>46153</v>
      </c>
      <c r="H21" s="1">
        <f ca="1">(Table4[[#This Row],[invested days]]/36500*Table4[[#This Row],[Interest Rate]]*Table4[[#This Row],[Invested]]) + Table4[[#This Row],[Invested]]</f>
        <v>152465.75342465754</v>
      </c>
      <c r="I21" s="1">
        <f t="shared" ca="1" si="1"/>
        <v>312</v>
      </c>
      <c r="J21">
        <f ca="1">_xlfn.NUMBERVALUE(Table4[[#This Row],[TODAY]]-Table4[[#This Row],[Created Date]])</f>
        <v>96</v>
      </c>
      <c r="K21" s="1">
        <f t="shared" ca="1" si="2"/>
        <v>15</v>
      </c>
    </row>
    <row r="22" spans="1:11">
      <c r="A22" s="1">
        <v>21</v>
      </c>
      <c r="B22" s="1">
        <v>1</v>
      </c>
      <c r="C22" s="1">
        <v>100000</v>
      </c>
      <c r="D22" s="1">
        <v>6.35</v>
      </c>
      <c r="E22" t="s">
        <v>82</v>
      </c>
      <c r="F22" t="s">
        <v>72</v>
      </c>
      <c r="G22" s="4">
        <f t="shared" ca="1" si="0"/>
        <v>46153</v>
      </c>
      <c r="H22" s="1">
        <f ca="1">(Table4[[#This Row],[invested days]]/36500*Table4[[#This Row],[Interest Rate]]*Table4[[#This Row],[Invested]]) + Table4[[#This Row],[Invested]]</f>
        <v>102209.45205479451</v>
      </c>
      <c r="I22" s="1">
        <f t="shared" ca="1" si="1"/>
        <v>328</v>
      </c>
      <c r="J22">
        <f ca="1">_xlfn.NUMBERVALUE(Table4[[#This Row],[TODAY]]-Table4[[#This Row],[Created Date]])</f>
        <v>127</v>
      </c>
      <c r="K22" s="1">
        <f t="shared" ca="1" si="2"/>
        <v>16</v>
      </c>
    </row>
    <row r="23" spans="1:11">
      <c r="A23" s="1">
        <v>22</v>
      </c>
      <c r="B23" s="1">
        <v>1</v>
      </c>
      <c r="C23" s="1">
        <v>150000</v>
      </c>
      <c r="D23" s="1">
        <v>6.25</v>
      </c>
      <c r="E23" t="s">
        <v>83</v>
      </c>
      <c r="F23" t="s">
        <v>84</v>
      </c>
      <c r="G23" s="4">
        <f t="shared" ca="1" si="0"/>
        <v>46153</v>
      </c>
      <c r="H23" s="1">
        <f ca="1">(Table4[[#This Row],[invested days]]/36500*Table4[[#This Row],[Interest Rate]]*Table4[[#This Row],[Invested]]) + Table4[[#This Row],[Invested]]</f>
        <v>152491.43835616438</v>
      </c>
      <c r="I23" s="1">
        <f t="shared" ca="1" si="1"/>
        <v>342</v>
      </c>
      <c r="J23">
        <f ca="1">_xlfn.NUMBERVALUE(Table4[[#This Row],[TODAY]]-Table4[[#This Row],[Created Date]])</f>
        <v>97</v>
      </c>
      <c r="K23" s="1">
        <f t="shared" ca="1" si="2"/>
        <v>14</v>
      </c>
    </row>
    <row r="24" spans="1:11">
      <c r="A24" s="1">
        <v>23</v>
      </c>
      <c r="B24" s="1">
        <v>1</v>
      </c>
      <c r="C24" s="1">
        <v>200000</v>
      </c>
      <c r="D24" s="1">
        <v>6.35</v>
      </c>
      <c r="E24" t="s">
        <v>85</v>
      </c>
      <c r="F24" t="s">
        <v>86</v>
      </c>
      <c r="G24" s="4">
        <f t="shared" ca="1" si="0"/>
        <v>46153</v>
      </c>
      <c r="H24" s="1">
        <f ca="1">(Table4[[#This Row],[invested days]]/36500*Table4[[#This Row],[Interest Rate]]*Table4[[#This Row],[Invested]]) + Table4[[#This Row],[Invested]]</f>
        <v>203549.04109589042</v>
      </c>
      <c r="I24" s="1">
        <f t="shared" ca="1" si="1"/>
        <v>353</v>
      </c>
      <c r="J24">
        <f ca="1">_xlfn.NUMBERVALUE(Table4[[#This Row],[TODAY]]-Table4[[#This Row],[Created Date]])</f>
        <v>102</v>
      </c>
      <c r="K24" s="1">
        <f t="shared" ca="1" si="2"/>
        <v>11</v>
      </c>
    </row>
    <row r="25" spans="1:11">
      <c r="A25" s="1">
        <v>24</v>
      </c>
      <c r="B25" s="1">
        <v>1</v>
      </c>
      <c r="C25" s="1">
        <v>200000</v>
      </c>
      <c r="D25" s="1">
        <v>6.35</v>
      </c>
      <c r="E25" t="s">
        <v>87</v>
      </c>
      <c r="F25" t="s">
        <v>86</v>
      </c>
      <c r="G25" s="4">
        <f t="shared" ca="1" si="0"/>
        <v>46153</v>
      </c>
      <c r="H25" s="1">
        <f ca="1">(Table4[[#This Row],[invested days]]/36500*Table4[[#This Row],[Interest Rate]]*Table4[[#This Row],[Invested]]) + Table4[[#This Row],[Invested]]</f>
        <v>203549.04109589042</v>
      </c>
      <c r="I25" s="1">
        <f t="shared" ca="1" si="1"/>
        <v>368</v>
      </c>
      <c r="J25">
        <f ca="1">_xlfn.NUMBERVALUE(Table4[[#This Row],[TODAY]]-Table4[[#This Row],[Created Date]])</f>
        <v>102</v>
      </c>
      <c r="K25" s="1">
        <f t="shared" ca="1" si="2"/>
        <v>15</v>
      </c>
    </row>
    <row r="26" spans="1:11">
      <c r="A26" s="1">
        <v>25</v>
      </c>
      <c r="B26" s="1">
        <v>6</v>
      </c>
      <c r="C26" s="1">
        <v>100000</v>
      </c>
      <c r="D26" s="1">
        <v>7</v>
      </c>
      <c r="E26" t="s">
        <v>88</v>
      </c>
      <c r="F26" t="s">
        <v>89</v>
      </c>
      <c r="G26" s="4">
        <f t="shared" ca="1" si="0"/>
        <v>46153</v>
      </c>
      <c r="H26" s="1">
        <f ca="1">(Table4[[#This Row],[invested days]]/36500*Table4[[#This Row],[Interest Rate]]*Table4[[#This Row],[Invested]]) + Table4[[#This Row],[Invested]]</f>
        <v>103106.8493150685</v>
      </c>
      <c r="I26" s="1">
        <f t="shared" ca="1" si="1"/>
        <v>384</v>
      </c>
      <c r="J26">
        <f ca="1">_xlfn.NUMBERVALUE(Table4[[#This Row],[TODAY]]-Table4[[#This Row],[Created Date]])</f>
        <v>162</v>
      </c>
      <c r="K26" s="1">
        <f t="shared" ca="1" si="2"/>
        <v>16</v>
      </c>
    </row>
    <row r="27" spans="1:11">
      <c r="A27" s="1">
        <v>26</v>
      </c>
      <c r="B27" s="1">
        <v>6</v>
      </c>
      <c r="C27" s="1">
        <v>100000</v>
      </c>
      <c r="D27" s="1">
        <v>7</v>
      </c>
      <c r="E27" t="s">
        <v>90</v>
      </c>
      <c r="F27" t="s">
        <v>91</v>
      </c>
      <c r="G27" s="4">
        <f t="shared" ca="1" si="0"/>
        <v>46153</v>
      </c>
      <c r="H27" s="1">
        <f ca="1">(Table4[[#This Row],[invested days]]/36500*Table4[[#This Row],[Interest Rate]]*Table4[[#This Row],[Invested]]) + Table4[[#This Row],[Invested]]</f>
        <v>102723.28767123287</v>
      </c>
      <c r="I27" s="1">
        <f t="shared" ca="1" si="1"/>
        <v>405</v>
      </c>
      <c r="J27">
        <f ca="1">_xlfn.NUMBERVALUE(Table4[[#This Row],[TODAY]]-Table4[[#This Row],[Created Date]])</f>
        <v>142</v>
      </c>
      <c r="K27" s="1">
        <f t="shared" ca="1" si="2"/>
        <v>21</v>
      </c>
    </row>
    <row r="28" spans="1:11">
      <c r="A28" s="1">
        <v>27</v>
      </c>
      <c r="B28" s="1">
        <v>3</v>
      </c>
      <c r="C28" s="1">
        <v>200000</v>
      </c>
      <c r="D28" s="1">
        <v>7</v>
      </c>
      <c r="E28" t="s">
        <v>92</v>
      </c>
      <c r="F28" t="s">
        <v>93</v>
      </c>
      <c r="G28" s="4">
        <f t="shared" ca="1" si="0"/>
        <v>46153</v>
      </c>
      <c r="H28" s="1">
        <f ca="1">(Table4[[#This Row],[invested days]]/36500*Table4[[#This Row],[Interest Rate]]*Table4[[#This Row],[Invested]]) + Table4[[#This Row],[Invested]]</f>
        <v>204756.16438356164</v>
      </c>
      <c r="I28" s="1">
        <f t="shared" ca="1" si="1"/>
        <v>422</v>
      </c>
      <c r="J28">
        <f ca="1">_xlfn.NUMBERVALUE(Table4[[#This Row],[TODAY]]-Table4[[#This Row],[Created Date]])</f>
        <v>124</v>
      </c>
      <c r="K28" s="1">
        <f t="shared" ca="1" si="2"/>
        <v>17</v>
      </c>
    </row>
    <row r="29" spans="1:11">
      <c r="A29" s="1">
        <v>28</v>
      </c>
      <c r="B29" s="1">
        <v>3</v>
      </c>
      <c r="C29" s="1">
        <v>200000</v>
      </c>
      <c r="D29" s="1">
        <v>7</v>
      </c>
      <c r="E29" t="s">
        <v>94</v>
      </c>
      <c r="F29" t="s">
        <v>95</v>
      </c>
      <c r="G29" s="4">
        <f t="shared" ca="1" si="0"/>
        <v>46153</v>
      </c>
      <c r="H29" s="1">
        <f ca="1">(Table4[[#This Row],[invested days]]/36500*Table4[[#This Row],[Interest Rate]]*Table4[[#This Row],[Invested]]) + Table4[[#This Row],[Invested]]</f>
        <v>204334.24657534246</v>
      </c>
      <c r="I29" s="1">
        <f t="shared" ca="1" si="1"/>
        <v>433</v>
      </c>
      <c r="J29">
        <f ca="1">_xlfn.NUMBERVALUE(Table4[[#This Row],[TODAY]]-Table4[[#This Row],[Created Date]])</f>
        <v>113</v>
      </c>
      <c r="K29" s="1">
        <f t="shared" ca="1" si="2"/>
        <v>11</v>
      </c>
    </row>
    <row r="30" spans="1:11">
      <c r="A30" s="1">
        <v>29</v>
      </c>
      <c r="B30" s="1">
        <v>3</v>
      </c>
      <c r="C30" s="1">
        <v>100000</v>
      </c>
      <c r="D30" s="1">
        <v>7</v>
      </c>
      <c r="E30" t="s">
        <v>96</v>
      </c>
      <c r="F30" t="s">
        <v>97</v>
      </c>
      <c r="G30" s="4">
        <f t="shared" ca="1" si="0"/>
        <v>46153</v>
      </c>
      <c r="H30" s="1">
        <f ca="1">(Table4[[#This Row],[invested days]]/36500*Table4[[#This Row],[Interest Rate]]*Table4[[#This Row],[Invested]]) + Table4[[#This Row],[Invested]]</f>
        <v>102147.94520547945</v>
      </c>
      <c r="I30" s="1">
        <f t="shared" ca="1" si="1"/>
        <v>434</v>
      </c>
      <c r="J30">
        <f ca="1">_xlfn.NUMBERVALUE(Table4[[#This Row],[TODAY]]-Table4[[#This Row],[Created Date]])</f>
        <v>112</v>
      </c>
      <c r="K30" s="1">
        <f t="shared" ca="1" si="2"/>
        <v>1</v>
      </c>
    </row>
    <row r="31" spans="1:11">
      <c r="A31" s="1">
        <v>30</v>
      </c>
      <c r="B31" s="1">
        <v>3</v>
      </c>
      <c r="C31" s="1">
        <v>100000</v>
      </c>
      <c r="D31" s="1">
        <v>7</v>
      </c>
      <c r="E31" t="s">
        <v>98</v>
      </c>
      <c r="F31" t="s">
        <v>76</v>
      </c>
      <c r="G31" s="4">
        <f t="shared" ca="1" si="0"/>
        <v>46153</v>
      </c>
      <c r="H31" s="1">
        <f ca="1">(Table4[[#This Row],[invested days]]/36500*Table4[[#This Row],[Interest Rate]]*Table4[[#This Row],[Invested]]) + Table4[[#This Row],[Invested]]</f>
        <v>101994.52054794521</v>
      </c>
      <c r="I31" s="1">
        <f t="shared" ca="1" si="1"/>
        <v>442</v>
      </c>
      <c r="J31">
        <f ca="1">_xlfn.NUMBERVALUE(Table4[[#This Row],[TODAY]]-Table4[[#This Row],[Created Date]])</f>
        <v>104</v>
      </c>
      <c r="K31" s="1">
        <f t="shared" ca="1" si="2"/>
        <v>8</v>
      </c>
    </row>
    <row r="32" spans="1:11">
      <c r="A32" s="1">
        <v>31</v>
      </c>
      <c r="B32" s="1">
        <v>3</v>
      </c>
      <c r="C32" s="1">
        <v>200000</v>
      </c>
      <c r="D32" s="1">
        <v>7</v>
      </c>
      <c r="E32" t="s">
        <v>99</v>
      </c>
      <c r="F32" t="s">
        <v>97</v>
      </c>
      <c r="G32" s="4">
        <f t="shared" ca="1" si="0"/>
        <v>46153</v>
      </c>
      <c r="H32" s="1">
        <f ca="1">(Table4[[#This Row],[invested days]]/36500*Table4[[#This Row],[Interest Rate]]*Table4[[#This Row],[Invested]]) + Table4[[#This Row],[Invested]]</f>
        <v>204295.89041095891</v>
      </c>
      <c r="I32" s="1">
        <f t="shared" ca="1" si="1"/>
        <v>444</v>
      </c>
      <c r="J32">
        <f ca="1">_xlfn.NUMBERVALUE(Table4[[#This Row],[TODAY]]-Table4[[#This Row],[Created Date]])</f>
        <v>112</v>
      </c>
      <c r="K32" s="1">
        <f t="shared" ca="1" si="2"/>
        <v>2</v>
      </c>
    </row>
    <row r="33" spans="1:11">
      <c r="A33" s="1">
        <v>32</v>
      </c>
      <c r="B33" s="1">
        <v>3</v>
      </c>
      <c r="C33" s="1">
        <v>100000</v>
      </c>
      <c r="D33" s="1">
        <v>7</v>
      </c>
      <c r="E33" t="s">
        <v>100</v>
      </c>
      <c r="F33" t="s">
        <v>84</v>
      </c>
      <c r="G33" s="4">
        <f t="shared" ca="1" si="0"/>
        <v>46153</v>
      </c>
      <c r="H33" s="1">
        <f ca="1">(Table4[[#This Row],[invested days]]/36500*Table4[[#This Row],[Interest Rate]]*Table4[[#This Row],[Invested]]) + Table4[[#This Row],[Invested]]</f>
        <v>101860.27397260274</v>
      </c>
      <c r="I33" s="1">
        <f t="shared" ca="1" si="1"/>
        <v>449</v>
      </c>
      <c r="J33">
        <f ca="1">_xlfn.NUMBERVALUE(Table4[[#This Row],[TODAY]]-Table4[[#This Row],[Created Date]])</f>
        <v>97</v>
      </c>
      <c r="K33" s="1">
        <f t="shared" ca="1" si="2"/>
        <v>5</v>
      </c>
    </row>
    <row r="34" spans="1:11">
      <c r="A34" s="1">
        <v>33</v>
      </c>
      <c r="B34" s="1">
        <v>1</v>
      </c>
      <c r="C34" s="1">
        <v>200000</v>
      </c>
      <c r="D34" s="1">
        <v>6.45</v>
      </c>
      <c r="E34" t="s">
        <v>101</v>
      </c>
      <c r="F34" t="s">
        <v>102</v>
      </c>
      <c r="G34" s="4">
        <f t="shared" ca="1" si="0"/>
        <v>46153</v>
      </c>
      <c r="H34" s="1">
        <f ca="1">(Table4[[#This Row],[invested days]]/36500*Table4[[#This Row],[Interest Rate]]*Table4[[#This Row],[Invested]]) + Table4[[#This Row],[Invested]]</f>
        <v>216116.16438356164</v>
      </c>
      <c r="I34" s="1">
        <f t="shared" ca="1" si="1"/>
        <v>455</v>
      </c>
      <c r="J34">
        <f ca="1">_xlfn.NUMBERVALUE(Table4[[#This Row],[TODAY]]-Table4[[#This Row],[Created Date]])</f>
        <v>456</v>
      </c>
      <c r="K34" s="1">
        <f t="shared" ca="1" si="2"/>
        <v>6</v>
      </c>
    </row>
    <row r="35" spans="1:11">
      <c r="A35" s="1">
        <v>34</v>
      </c>
      <c r="B35" s="1">
        <v>1</v>
      </c>
      <c r="C35" s="1">
        <v>150000</v>
      </c>
      <c r="D35" s="1">
        <v>6.45</v>
      </c>
      <c r="E35" t="s">
        <v>103</v>
      </c>
      <c r="F35" t="s">
        <v>104</v>
      </c>
      <c r="G35" s="4">
        <f t="shared" ca="1" si="0"/>
        <v>46153</v>
      </c>
      <c r="H35" s="1">
        <f ca="1">(Table4[[#This Row],[invested days]]/36500*Table4[[#This Row],[Interest Rate]]*Table4[[#This Row],[Invested]]) + Table4[[#This Row],[Invested]]</f>
        <v>152332.60273972602</v>
      </c>
      <c r="I35" s="1">
        <f t="shared" ca="1" si="1"/>
        <v>459</v>
      </c>
      <c r="J35">
        <f ca="1">_xlfn.NUMBERVALUE(Table4[[#This Row],[TODAY]]-Table4[[#This Row],[Created Date]])</f>
        <v>88</v>
      </c>
      <c r="K35" s="1">
        <f t="shared" ca="1" si="2"/>
        <v>4</v>
      </c>
    </row>
    <row r="36" spans="1:11">
      <c r="A36" s="1">
        <v>35</v>
      </c>
      <c r="B36" s="1">
        <v>1</v>
      </c>
      <c r="C36" s="1">
        <v>200000</v>
      </c>
      <c r="D36" s="1">
        <v>6.45</v>
      </c>
      <c r="E36" t="s">
        <v>105</v>
      </c>
      <c r="F36" t="s">
        <v>106</v>
      </c>
      <c r="G36" s="4">
        <f t="shared" ca="1" si="0"/>
        <v>46153</v>
      </c>
      <c r="H36" s="1">
        <f ca="1">(Table4[[#This Row],[invested days]]/36500*Table4[[#This Row],[Interest Rate]]*Table4[[#This Row],[Invested]]) + Table4[[#This Row],[Invested]]</f>
        <v>215126.57534246575</v>
      </c>
      <c r="I36" s="1">
        <f t="shared" ca="1" si="1"/>
        <v>486</v>
      </c>
      <c r="J36">
        <f ca="1">_xlfn.NUMBERVALUE(Table4[[#This Row],[TODAY]]-Table4[[#This Row],[Created Date]])</f>
        <v>428</v>
      </c>
      <c r="K36" s="1">
        <f t="shared" ca="1" si="2"/>
        <v>27</v>
      </c>
    </row>
    <row r="38" spans="1:11" ht="15" thickBot="1"/>
    <row r="39" spans="1:11" ht="15" thickTop="1">
      <c r="C39" s="5">
        <f>SUM(Table4[Invested])</f>
        <v>4528248</v>
      </c>
      <c r="H39" s="5">
        <f ca="1">SUM(Table4[Current Amount])</f>
        <v>4713240.9151232885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5"/>
  <sheetViews>
    <sheetView topLeftCell="A11" workbookViewId="0">
      <selection activeCell="H26" sqref="H26"/>
    </sheetView>
  </sheetViews>
  <sheetFormatPr defaultRowHeight="14.4"/>
  <cols>
    <col min="2" max="2" width="9.21875" customWidth="1"/>
    <col min="3" max="3" width="10.88671875" customWidth="1"/>
    <col min="5" max="5" width="14.33203125" customWidth="1"/>
    <col min="6" max="6" width="13.77734375" customWidth="1"/>
    <col min="7" max="7" width="10.21875" customWidth="1"/>
    <col min="9" max="9" width="8.88671875" customWidth="1"/>
  </cols>
  <sheetData>
    <row r="1" spans="1:11">
      <c r="A1" t="s">
        <v>42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44</v>
      </c>
      <c r="J1" t="s">
        <v>235</v>
      </c>
      <c r="K1" t="s">
        <v>273</v>
      </c>
    </row>
    <row r="2" spans="1:11" ht="28.8">
      <c r="A2" s="2">
        <v>1</v>
      </c>
      <c r="B2" s="2" t="s">
        <v>270</v>
      </c>
      <c r="C2" s="2" t="s">
        <v>115</v>
      </c>
      <c r="D2" s="2" t="s">
        <v>116</v>
      </c>
      <c r="E2" s="2">
        <v>24376.731301938999</v>
      </c>
      <c r="F2" s="2">
        <v>29789.538942108102</v>
      </c>
      <c r="G2" s="2">
        <v>13.5375</v>
      </c>
      <c r="H2" s="2" t="s">
        <v>117</v>
      </c>
      <c r="I2" s="1">
        <f>Table5[[#This Row],[Average Price]]*Table5[[#This Row],[Quantity]]</f>
        <v>329999.99999999919</v>
      </c>
      <c r="J2" s="1">
        <f>Table5[[#This Row],[Current Price]]*Table5[[#This Row],[Quantity]]</f>
        <v>403275.88342878839</v>
      </c>
      <c r="K2">
        <f>Table5[[#This Row],[Current Price]]-Table5[[#This Row],[Average Price]]</f>
        <v>5412.8076401691033</v>
      </c>
    </row>
    <row r="3" spans="1:11" ht="28.8">
      <c r="A3" s="2">
        <v>2</v>
      </c>
      <c r="B3" s="2" t="s">
        <v>118</v>
      </c>
      <c r="C3" s="2" t="s">
        <v>119</v>
      </c>
      <c r="D3" s="2" t="s">
        <v>120</v>
      </c>
      <c r="E3" s="2">
        <v>999.33333300000004</v>
      </c>
      <c r="F3" s="2">
        <v>1924.3</v>
      </c>
      <c r="G3" s="2">
        <v>9</v>
      </c>
      <c r="H3" s="2" t="s">
        <v>121</v>
      </c>
      <c r="I3" s="1">
        <f>Table5[[#This Row],[Average Price]]*Table5[[#This Row],[Quantity]]</f>
        <v>8993.9999970000008</v>
      </c>
      <c r="J3" s="1">
        <f>Table5[[#This Row],[Current Price]]*Table5[[#This Row],[Quantity]]</f>
        <v>17318.7</v>
      </c>
      <c r="K3">
        <f>Table5[[#This Row],[Current Price]]-Table5[[#This Row],[Average Price]]</f>
        <v>924.96666699999992</v>
      </c>
    </row>
    <row r="4" spans="1:11" ht="28.8">
      <c r="A4" s="2">
        <v>5</v>
      </c>
      <c r="B4" s="2" t="s">
        <v>127</v>
      </c>
      <c r="C4" s="2" t="s">
        <v>125</v>
      </c>
      <c r="D4" s="2" t="s">
        <v>128</v>
      </c>
      <c r="E4" s="2">
        <v>1200.7874999999999</v>
      </c>
      <c r="F4" s="2">
        <v>1764.4</v>
      </c>
      <c r="G4" s="2">
        <v>12</v>
      </c>
      <c r="H4" s="2" t="s">
        <v>121</v>
      </c>
      <c r="I4" s="1">
        <f>Table5[[#This Row],[Average Price]]*Table5[[#This Row],[Quantity]]</f>
        <v>14409.449999999999</v>
      </c>
      <c r="J4" s="1">
        <f>Table5[[#This Row],[Current Price]]*Table5[[#This Row],[Quantity]]</f>
        <v>21172.800000000003</v>
      </c>
      <c r="K4">
        <f>Table5[[#This Row],[Current Price]]-Table5[[#This Row],[Average Price]]</f>
        <v>563.61250000000018</v>
      </c>
    </row>
    <row r="5" spans="1:11" ht="28.8">
      <c r="A5" s="2">
        <v>3</v>
      </c>
      <c r="B5" s="2" t="s">
        <v>122</v>
      </c>
      <c r="C5" s="2" t="s">
        <v>125</v>
      </c>
      <c r="D5" s="2" t="s">
        <v>123</v>
      </c>
      <c r="E5" s="2">
        <v>821.43</v>
      </c>
      <c r="F5" s="2">
        <v>1096</v>
      </c>
      <c r="G5" s="2">
        <v>15</v>
      </c>
      <c r="H5" s="2" t="s">
        <v>121</v>
      </c>
      <c r="I5" s="1">
        <f>Table5[[#This Row],[Average Price]]*Table5[[#This Row],[Quantity]]</f>
        <v>12321.449999999999</v>
      </c>
      <c r="J5" s="1">
        <f>Table5[[#This Row],[Current Price]]*Table5[[#This Row],[Quantity]]</f>
        <v>16440</v>
      </c>
      <c r="K5">
        <f>Table5[[#This Row],[Current Price]]-Table5[[#This Row],[Average Price]]</f>
        <v>274.57000000000005</v>
      </c>
    </row>
    <row r="6" spans="1:11" ht="28.8">
      <c r="A6" s="2">
        <v>8</v>
      </c>
      <c r="B6" s="2" t="s">
        <v>133</v>
      </c>
      <c r="C6" s="2" t="s">
        <v>119</v>
      </c>
      <c r="D6" s="2" t="s">
        <v>134</v>
      </c>
      <c r="E6" s="2">
        <v>647.45714199999998</v>
      </c>
      <c r="F6" s="2">
        <v>829.95</v>
      </c>
      <c r="G6" s="2">
        <v>21</v>
      </c>
      <c r="H6" s="2" t="s">
        <v>121</v>
      </c>
      <c r="I6" s="1">
        <f>Table5[[#This Row],[Average Price]]*Table5[[#This Row],[Quantity]]</f>
        <v>13596.599982</v>
      </c>
      <c r="J6" s="1">
        <f>Table5[[#This Row],[Current Price]]*Table5[[#This Row],[Quantity]]</f>
        <v>17428.95</v>
      </c>
      <c r="K6">
        <f>Table5[[#This Row],[Current Price]]-Table5[[#This Row],[Average Price]]</f>
        <v>182.49285800000007</v>
      </c>
    </row>
    <row r="7" spans="1:11" ht="28.8">
      <c r="A7" s="2">
        <v>7</v>
      </c>
      <c r="B7" s="2" t="s">
        <v>131</v>
      </c>
      <c r="C7" s="2" t="s">
        <v>125</v>
      </c>
      <c r="D7" s="2" t="s">
        <v>132</v>
      </c>
      <c r="E7" s="2">
        <v>234.55245600000001</v>
      </c>
      <c r="F7" s="2">
        <v>385.95</v>
      </c>
      <c r="G7" s="2">
        <v>57</v>
      </c>
      <c r="H7" s="2" t="s">
        <v>121</v>
      </c>
      <c r="I7" s="1">
        <f>Table5[[#This Row],[Average Price]]*Table5[[#This Row],[Quantity]]</f>
        <v>13369.489992000001</v>
      </c>
      <c r="J7" s="1">
        <f>Table5[[#This Row],[Current Price]]*Table5[[#This Row],[Quantity]]</f>
        <v>21999.149999999998</v>
      </c>
      <c r="K7">
        <f>Table5[[#This Row],[Current Price]]-Table5[[#This Row],[Average Price]]</f>
        <v>151.39754399999998</v>
      </c>
    </row>
    <row r="8" spans="1:11" ht="28.8">
      <c r="A8" s="2">
        <v>9</v>
      </c>
      <c r="B8" s="2" t="s">
        <v>135</v>
      </c>
      <c r="C8" s="2" t="s">
        <v>119</v>
      </c>
      <c r="D8" s="2" t="s">
        <v>136</v>
      </c>
      <c r="E8" s="2">
        <v>967.73666600000001</v>
      </c>
      <c r="F8" s="2">
        <v>1110.25</v>
      </c>
      <c r="G8" s="2">
        <v>15</v>
      </c>
      <c r="H8" s="2" t="s">
        <v>121</v>
      </c>
      <c r="I8" s="1">
        <f>Table5[[#This Row],[Average Price]]*Table5[[#This Row],[Quantity]]</f>
        <v>14516.04999</v>
      </c>
      <c r="J8" s="1">
        <f>Table5[[#This Row],[Current Price]]*Table5[[#This Row],[Quantity]]</f>
        <v>16653.75</v>
      </c>
      <c r="K8">
        <f>Table5[[#This Row],[Current Price]]-Table5[[#This Row],[Average Price]]</f>
        <v>142.51333399999999</v>
      </c>
    </row>
    <row r="9" spans="1:11" ht="28.8">
      <c r="A9" s="2">
        <v>6</v>
      </c>
      <c r="B9" s="2" t="s">
        <v>129</v>
      </c>
      <c r="C9" s="2" t="s">
        <v>119</v>
      </c>
      <c r="D9" s="2" t="s">
        <v>130</v>
      </c>
      <c r="E9" s="2">
        <v>465.75909000000001</v>
      </c>
      <c r="F9" s="2">
        <v>587.6</v>
      </c>
      <c r="G9" s="2">
        <v>22</v>
      </c>
      <c r="H9" s="2" t="s">
        <v>121</v>
      </c>
      <c r="I9" s="1">
        <f>Table5[[#This Row],[Average Price]]*Table5[[#This Row],[Quantity]]</f>
        <v>10246.699980000001</v>
      </c>
      <c r="J9" s="1">
        <f>Table5[[#This Row],[Current Price]]*Table5[[#This Row],[Quantity]]</f>
        <v>12927.2</v>
      </c>
      <c r="K9">
        <f>Table5[[#This Row],[Current Price]]-Table5[[#This Row],[Average Price]]</f>
        <v>121.84091000000001</v>
      </c>
    </row>
    <row r="10" spans="1:11" ht="28.8">
      <c r="A10" s="2">
        <v>14</v>
      </c>
      <c r="B10" s="2" t="s">
        <v>145</v>
      </c>
      <c r="C10" s="2" t="s">
        <v>125</v>
      </c>
      <c r="D10" s="2" t="s">
        <v>146</v>
      </c>
      <c r="E10" s="2">
        <v>1066.3</v>
      </c>
      <c r="F10" s="2">
        <v>1177.5999999999999</v>
      </c>
      <c r="G10" s="2">
        <v>14</v>
      </c>
      <c r="H10" s="2" t="s">
        <v>121</v>
      </c>
      <c r="I10" s="1">
        <f>Table5[[#This Row],[Average Price]]*Table5[[#This Row],[Quantity]]</f>
        <v>14928.199999999999</v>
      </c>
      <c r="J10" s="1">
        <f>Table5[[#This Row],[Current Price]]*Table5[[#This Row],[Quantity]]</f>
        <v>16486.399999999998</v>
      </c>
      <c r="K10">
        <f>Table5[[#This Row],[Current Price]]-Table5[[#This Row],[Average Price]]</f>
        <v>111.29999999999995</v>
      </c>
    </row>
    <row r="11" spans="1:11" ht="28.8">
      <c r="A11" s="2">
        <v>19</v>
      </c>
      <c r="B11" s="2" t="s">
        <v>155</v>
      </c>
      <c r="C11" s="2" t="s">
        <v>119</v>
      </c>
      <c r="D11" s="2" t="s">
        <v>156</v>
      </c>
      <c r="E11" s="2">
        <v>1356.986666</v>
      </c>
      <c r="F11" s="2">
        <v>1450</v>
      </c>
      <c r="G11" s="2">
        <v>15</v>
      </c>
      <c r="H11" s="2" t="s">
        <v>121</v>
      </c>
      <c r="I11" s="1">
        <f>Table5[[#This Row],[Average Price]]*Table5[[#This Row],[Quantity]]</f>
        <v>20354.79999</v>
      </c>
      <c r="J11" s="1">
        <f>Table5[[#This Row],[Current Price]]*Table5[[#This Row],[Quantity]]</f>
        <v>21750</v>
      </c>
      <c r="K11">
        <f>Table5[[#This Row],[Current Price]]-Table5[[#This Row],[Average Price]]</f>
        <v>93.013333999999986</v>
      </c>
    </row>
    <row r="12" spans="1:11" ht="28.8">
      <c r="A12" s="2">
        <v>4</v>
      </c>
      <c r="B12" s="2" t="s">
        <v>124</v>
      </c>
      <c r="C12" s="2" t="s">
        <v>119</v>
      </c>
      <c r="D12" s="2" t="s">
        <v>126</v>
      </c>
      <c r="E12" s="2">
        <v>358.558108</v>
      </c>
      <c r="F12" s="2">
        <v>438.15</v>
      </c>
      <c r="G12" s="2">
        <v>37</v>
      </c>
      <c r="H12" s="2" t="s">
        <v>121</v>
      </c>
      <c r="I12" s="1">
        <f>Table5[[#This Row],[Average Price]]*Table5[[#This Row],[Quantity]]</f>
        <v>13266.649996</v>
      </c>
      <c r="J12" s="1">
        <f>Table5[[#This Row],[Current Price]]*Table5[[#This Row],[Quantity]]</f>
        <v>16211.55</v>
      </c>
      <c r="K12">
        <f>Table5[[#This Row],[Current Price]]-Table5[[#This Row],[Average Price]]</f>
        <v>79.591891999999973</v>
      </c>
    </row>
    <row r="13" spans="1:11" ht="28.8">
      <c r="A13" s="2">
        <v>11</v>
      </c>
      <c r="B13" s="2" t="s">
        <v>139</v>
      </c>
      <c r="C13" s="2" t="s">
        <v>125</v>
      </c>
      <c r="D13" s="2" t="s">
        <v>140</v>
      </c>
      <c r="E13" s="2">
        <v>439.73939300000001</v>
      </c>
      <c r="F13" s="2">
        <v>500.1</v>
      </c>
      <c r="G13" s="2">
        <v>33</v>
      </c>
      <c r="H13" s="2" t="s">
        <v>121</v>
      </c>
      <c r="I13" s="1">
        <f>Table5[[#This Row],[Average Price]]*Table5[[#This Row],[Quantity]]</f>
        <v>14511.399969</v>
      </c>
      <c r="J13" s="1">
        <f>Table5[[#This Row],[Current Price]]*Table5[[#This Row],[Quantity]]</f>
        <v>16503.3</v>
      </c>
      <c r="K13">
        <f>Table5[[#This Row],[Current Price]]-Table5[[#This Row],[Average Price]]</f>
        <v>60.360607000000016</v>
      </c>
    </row>
    <row r="14" spans="1:11" ht="28.8">
      <c r="A14" s="2">
        <v>16</v>
      </c>
      <c r="B14" s="2" t="s">
        <v>149</v>
      </c>
      <c r="C14" s="2" t="s">
        <v>119</v>
      </c>
      <c r="D14" s="2" t="s">
        <v>150</v>
      </c>
      <c r="E14" s="2">
        <v>172.61421000000001</v>
      </c>
      <c r="F14" s="2">
        <v>210.75</v>
      </c>
      <c r="G14" s="2">
        <v>95</v>
      </c>
      <c r="H14" s="2" t="s">
        <v>121</v>
      </c>
      <c r="I14" s="1">
        <f>Table5[[#This Row],[Average Price]]*Table5[[#This Row],[Quantity]]</f>
        <v>16398.34995</v>
      </c>
      <c r="J14" s="1">
        <f>Table5[[#This Row],[Current Price]]*Table5[[#This Row],[Quantity]]</f>
        <v>20021.25</v>
      </c>
      <c r="K14">
        <f>Table5[[#This Row],[Current Price]]-Table5[[#This Row],[Average Price]]</f>
        <v>38.135789999999986</v>
      </c>
    </row>
    <row r="15" spans="1:11" ht="28.8">
      <c r="A15" s="2">
        <v>13</v>
      </c>
      <c r="B15" s="2" t="s">
        <v>143</v>
      </c>
      <c r="C15" s="2" t="s">
        <v>125</v>
      </c>
      <c r="D15" s="2" t="s">
        <v>144</v>
      </c>
      <c r="E15" s="2">
        <v>156.610434</v>
      </c>
      <c r="F15" s="2">
        <v>186.04</v>
      </c>
      <c r="G15" s="2">
        <v>92</v>
      </c>
      <c r="H15" s="2" t="s">
        <v>121</v>
      </c>
      <c r="I15" s="1">
        <f>Table5[[#This Row],[Average Price]]*Table5[[#This Row],[Quantity]]</f>
        <v>14408.159927999999</v>
      </c>
      <c r="J15" s="1">
        <f>Table5[[#This Row],[Current Price]]*Table5[[#This Row],[Quantity]]</f>
        <v>17115.68</v>
      </c>
      <c r="K15">
        <f>Table5[[#This Row],[Current Price]]-Table5[[#This Row],[Average Price]]</f>
        <v>29.429565999999994</v>
      </c>
    </row>
    <row r="16" spans="1:11" ht="28.8">
      <c r="A16" s="2">
        <v>15</v>
      </c>
      <c r="B16" s="2" t="s">
        <v>147</v>
      </c>
      <c r="C16" s="2" t="s">
        <v>125</v>
      </c>
      <c r="D16" s="2" t="s">
        <v>148</v>
      </c>
      <c r="E16" s="2">
        <v>785.48333300000002</v>
      </c>
      <c r="F16" s="2">
        <v>814.8</v>
      </c>
      <c r="G16" s="2">
        <v>21</v>
      </c>
      <c r="H16" s="2" t="s">
        <v>121</v>
      </c>
      <c r="I16" s="1">
        <f>Table5[[#This Row],[Average Price]]*Table5[[#This Row],[Quantity]]</f>
        <v>16495.149992999999</v>
      </c>
      <c r="J16" s="1">
        <f>Table5[[#This Row],[Current Price]]*Table5[[#This Row],[Quantity]]</f>
        <v>17110.8</v>
      </c>
      <c r="K16">
        <f>Table5[[#This Row],[Current Price]]-Table5[[#This Row],[Average Price]]</f>
        <v>29.316666999999939</v>
      </c>
    </row>
    <row r="17" spans="1:11" ht="28.8">
      <c r="A17" s="2">
        <v>10</v>
      </c>
      <c r="B17" s="2" t="s">
        <v>137</v>
      </c>
      <c r="C17" s="2" t="s">
        <v>125</v>
      </c>
      <c r="D17" s="2" t="s">
        <v>138</v>
      </c>
      <c r="E17" s="2">
        <v>287.44509799999997</v>
      </c>
      <c r="F17" s="2">
        <v>315.95</v>
      </c>
      <c r="G17" s="2">
        <v>51</v>
      </c>
      <c r="H17" s="2" t="s">
        <v>121</v>
      </c>
      <c r="I17" s="1">
        <f>Table5[[#This Row],[Average Price]]*Table5[[#This Row],[Quantity]]</f>
        <v>14659.699997999998</v>
      </c>
      <c r="J17" s="1">
        <f>Table5[[#This Row],[Current Price]]*Table5[[#This Row],[Quantity]]</f>
        <v>16113.449999999999</v>
      </c>
      <c r="K17">
        <f>Table5[[#This Row],[Current Price]]-Table5[[#This Row],[Average Price]]</f>
        <v>28.504902000000016</v>
      </c>
    </row>
    <row r="18" spans="1:11" ht="28.8">
      <c r="A18" s="2">
        <v>17</v>
      </c>
      <c r="B18" s="2" t="s">
        <v>151</v>
      </c>
      <c r="C18" s="2" t="s">
        <v>119</v>
      </c>
      <c r="D18" s="2" t="s">
        <v>152</v>
      </c>
      <c r="E18" s="2">
        <v>253.726078</v>
      </c>
      <c r="F18" s="2">
        <v>256.39999999999998</v>
      </c>
      <c r="G18" s="2">
        <v>51</v>
      </c>
      <c r="H18" s="2" t="s">
        <v>121</v>
      </c>
      <c r="I18" s="1">
        <f>Table5[[#This Row],[Average Price]]*Table5[[#This Row],[Quantity]]</f>
        <v>12940.029978</v>
      </c>
      <c r="J18" s="1">
        <f>Table5[[#This Row],[Current Price]]*Table5[[#This Row],[Quantity]]</f>
        <v>13076.4</v>
      </c>
      <c r="K18">
        <f>Table5[[#This Row],[Current Price]]-Table5[[#This Row],[Average Price]]</f>
        <v>2.6739219999999762</v>
      </c>
    </row>
    <row r="19" spans="1:11" ht="28.8">
      <c r="A19" s="2">
        <v>12</v>
      </c>
      <c r="B19" s="2" t="s">
        <v>141</v>
      </c>
      <c r="C19" s="2" t="s">
        <v>125</v>
      </c>
      <c r="D19" s="2" t="s">
        <v>142</v>
      </c>
      <c r="E19" s="2">
        <v>42.077151000000001</v>
      </c>
      <c r="F19" s="2">
        <v>41.85</v>
      </c>
      <c r="G19" s="2">
        <v>330</v>
      </c>
      <c r="H19" s="2" t="s">
        <v>121</v>
      </c>
      <c r="I19" s="1">
        <f>Table5[[#This Row],[Average Price]]*Table5[[#This Row],[Quantity]]</f>
        <v>13885.45983</v>
      </c>
      <c r="J19" s="1">
        <f>Table5[[#This Row],[Current Price]]*Table5[[#This Row],[Quantity]]</f>
        <v>13810.5</v>
      </c>
      <c r="K19">
        <f>Table5[[#This Row],[Current Price]]-Table5[[#This Row],[Average Price]]</f>
        <v>-0.22715099999999921</v>
      </c>
    </row>
    <row r="20" spans="1:11" ht="28.8">
      <c r="A20" s="2">
        <v>20</v>
      </c>
      <c r="B20" s="2" t="s">
        <v>157</v>
      </c>
      <c r="C20" s="2" t="s">
        <v>119</v>
      </c>
      <c r="D20" s="2" t="s">
        <v>158</v>
      </c>
      <c r="E20" s="2">
        <v>69.901465999999999</v>
      </c>
      <c r="F20" s="2">
        <v>69.58</v>
      </c>
      <c r="G20" s="2">
        <v>341</v>
      </c>
      <c r="H20" s="2" t="s">
        <v>121</v>
      </c>
      <c r="I20" s="1">
        <f>Table5[[#This Row],[Average Price]]*Table5[[#This Row],[Quantity]]</f>
        <v>23836.399905999999</v>
      </c>
      <c r="J20" s="1">
        <f>Table5[[#This Row],[Current Price]]*Table5[[#This Row],[Quantity]]</f>
        <v>23726.78</v>
      </c>
      <c r="K20">
        <f>Table5[[#This Row],[Current Price]]-Table5[[#This Row],[Average Price]]</f>
        <v>-0.32146600000000092</v>
      </c>
    </row>
    <row r="21" spans="1:11" ht="28.8">
      <c r="A21" s="2">
        <v>18</v>
      </c>
      <c r="B21" s="2" t="s">
        <v>153</v>
      </c>
      <c r="C21" s="2" t="s">
        <v>119</v>
      </c>
      <c r="D21" s="2" t="s">
        <v>154</v>
      </c>
      <c r="E21" s="2">
        <v>172.75549000000001</v>
      </c>
      <c r="F21" s="2">
        <v>167.9</v>
      </c>
      <c r="G21" s="2">
        <v>102</v>
      </c>
      <c r="H21" s="2" t="s">
        <v>121</v>
      </c>
      <c r="I21" s="1">
        <f>Table5[[#This Row],[Average Price]]*Table5[[#This Row],[Quantity]]</f>
        <v>17621.059980000002</v>
      </c>
      <c r="J21" s="1">
        <f>Table5[[#This Row],[Current Price]]*Table5[[#This Row],[Quantity]]</f>
        <v>17125.8</v>
      </c>
      <c r="K21">
        <f>Table5[[#This Row],[Current Price]]-Table5[[#This Row],[Average Price]]</f>
        <v>-4.8554900000000032</v>
      </c>
    </row>
    <row r="22" spans="1:11" ht="28.8">
      <c r="A22" s="2">
        <v>21</v>
      </c>
      <c r="B22" s="2" t="s">
        <v>159</v>
      </c>
      <c r="C22" s="2" t="s">
        <v>119</v>
      </c>
      <c r="D22" s="2" t="s">
        <v>160</v>
      </c>
      <c r="E22" s="2">
        <v>1217.328571</v>
      </c>
      <c r="F22" s="2">
        <v>1185</v>
      </c>
      <c r="G22" s="2">
        <v>14</v>
      </c>
      <c r="H22" s="2" t="s">
        <v>121</v>
      </c>
      <c r="I22" s="1">
        <f>Table5[[#This Row],[Average Price]]*Table5[[#This Row],[Quantity]]</f>
        <v>17042.599994</v>
      </c>
      <c r="J22" s="1">
        <f>Table5[[#This Row],[Current Price]]*Table5[[#This Row],[Quantity]]</f>
        <v>16590</v>
      </c>
      <c r="K22">
        <f>Table5[[#This Row],[Current Price]]-Table5[[#This Row],[Average Price]]</f>
        <v>-32.328571000000011</v>
      </c>
    </row>
    <row r="25" spans="1:11">
      <c r="H25">
        <f>I25-I2</f>
        <v>297801.69945299998</v>
      </c>
      <c r="I25">
        <f>SUM(Table5[Invested])</f>
        <v>627801.69945299916</v>
      </c>
      <c r="J25">
        <f>SUM(Table5[current])</f>
        <v>752858.34342878871</v>
      </c>
      <c r="K25">
        <f>J25-J2</f>
        <v>349582.46000000031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3"/>
  <sheetViews>
    <sheetView tabSelected="1" topLeftCell="A3" workbookViewId="0">
      <selection activeCell="E7" sqref="E7"/>
    </sheetView>
  </sheetViews>
  <sheetFormatPr defaultRowHeight="14.4"/>
  <cols>
    <col min="3" max="3" width="12.6640625" customWidth="1"/>
    <col min="4" max="4" width="14.44140625" customWidth="1"/>
    <col min="5" max="5" width="11.5546875" bestFit="1" customWidth="1"/>
    <col min="6" max="6" width="13.6640625" customWidth="1"/>
    <col min="7" max="7" width="15.5546875" customWidth="1"/>
    <col min="8" max="8" width="11.5546875" customWidth="1"/>
    <col min="9" max="9" width="10.77734375" customWidth="1"/>
    <col min="11" max="12" width="10.5546875" bestFit="1" customWidth="1"/>
  </cols>
  <sheetData>
    <row r="1" spans="1:13">
      <c r="A1" t="s">
        <v>42</v>
      </c>
      <c r="B1" t="s">
        <v>0</v>
      </c>
      <c r="C1" t="s">
        <v>209</v>
      </c>
      <c r="D1" t="s">
        <v>210</v>
      </c>
      <c r="E1" t="s">
        <v>211</v>
      </c>
      <c r="F1" t="s">
        <v>212</v>
      </c>
      <c r="G1" t="s">
        <v>213</v>
      </c>
      <c r="H1" t="s">
        <v>214</v>
      </c>
      <c r="I1" t="s">
        <v>215</v>
      </c>
      <c r="J1" t="s">
        <v>216</v>
      </c>
      <c r="K1" t="s">
        <v>44</v>
      </c>
      <c r="L1" t="s">
        <v>236</v>
      </c>
    </row>
    <row r="2" spans="1:13" ht="57.6">
      <c r="A2" s="1">
        <v>1</v>
      </c>
      <c r="B2" s="2">
        <v>1</v>
      </c>
      <c r="C2" s="2" t="s">
        <v>200</v>
      </c>
      <c r="D2" s="2">
        <v>118780</v>
      </c>
      <c r="E2" s="2">
        <v>522.45600000000002</v>
      </c>
      <c r="F2" s="2">
        <v>40.19</v>
      </c>
      <c r="G2" s="18">
        <v>46149.092395833337</v>
      </c>
      <c r="H2" s="2">
        <v>41.029000000000003</v>
      </c>
      <c r="I2" s="2"/>
      <c r="J2" s="2">
        <v>3000</v>
      </c>
      <c r="K2" s="2">
        <f>Table7[[#This Row],[average_nav]]*Table7[[#This Row],[units]]</f>
        <v>20997.50664</v>
      </c>
      <c r="L2" s="2">
        <f>Table7[[#This Row],[latest_nav]]*Table7[[#This Row],[units]]</f>
        <v>21435.847224000001</v>
      </c>
    </row>
    <row r="3" spans="1:13" ht="57.6">
      <c r="A3" s="1">
        <v>2</v>
      </c>
      <c r="B3" s="2">
        <v>2</v>
      </c>
      <c r="C3" s="2" t="s">
        <v>201</v>
      </c>
      <c r="D3" s="2">
        <v>120828</v>
      </c>
      <c r="E3" s="2">
        <v>380.53699999999998</v>
      </c>
      <c r="F3" s="2">
        <v>257.52</v>
      </c>
      <c r="G3" s="18">
        <v>46149.092395833337</v>
      </c>
      <c r="H3" s="2">
        <v>292.1925</v>
      </c>
      <c r="I3" s="2"/>
      <c r="J3" s="2">
        <v>3000</v>
      </c>
      <c r="K3" s="2">
        <f>Table7[[#This Row],[average_nav]]*Table7[[#This Row],[units]]</f>
        <v>97995.888239999986</v>
      </c>
      <c r="L3" s="2">
        <f>Table7[[#This Row],[latest_nav]]*Table7[[#This Row],[units]]</f>
        <v>111190.05737249998</v>
      </c>
    </row>
    <row r="4" spans="1:13" ht="57.6">
      <c r="A4" s="1">
        <v>3</v>
      </c>
      <c r="B4" s="2">
        <v>3</v>
      </c>
      <c r="C4" s="2" t="s">
        <v>202</v>
      </c>
      <c r="D4" s="2">
        <v>118778</v>
      </c>
      <c r="E4" s="2">
        <v>520.36699999999996</v>
      </c>
      <c r="F4" s="2">
        <v>174.87</v>
      </c>
      <c r="G4" s="18">
        <v>46149.092395833337</v>
      </c>
      <c r="H4" s="2">
        <v>198.3537</v>
      </c>
      <c r="I4" s="2"/>
      <c r="J4" s="2">
        <v>3000</v>
      </c>
      <c r="K4" s="2">
        <f>Table7[[#This Row],[average_nav]]*Table7[[#This Row],[units]]</f>
        <v>90996.577290000001</v>
      </c>
      <c r="L4" s="2">
        <f>Table7[[#This Row],[latest_nav]]*Table7[[#This Row],[units]]</f>
        <v>103216.71980789999</v>
      </c>
    </row>
    <row r="5" spans="1:13" ht="72">
      <c r="A5" s="1">
        <v>4</v>
      </c>
      <c r="B5" s="2">
        <v>4</v>
      </c>
      <c r="C5" s="2" t="s">
        <v>203</v>
      </c>
      <c r="D5" s="2">
        <v>118968</v>
      </c>
      <c r="E5" s="2">
        <v>192.21799999999999</v>
      </c>
      <c r="F5" s="2">
        <v>515.01</v>
      </c>
      <c r="G5" s="18">
        <v>46149.092395833337</v>
      </c>
      <c r="H5" s="2">
        <v>562.96799999999996</v>
      </c>
      <c r="I5" s="2"/>
      <c r="J5" s="2">
        <v>3000</v>
      </c>
      <c r="K5" s="2">
        <f>Table7[[#This Row],[average_nav]]*Table7[[#This Row],[units]]</f>
        <v>98994.192179999998</v>
      </c>
      <c r="L5" s="2">
        <f>Table7[[#This Row],[latest_nav]]*Table7[[#This Row],[units]]</f>
        <v>108212.58302399999</v>
      </c>
    </row>
    <row r="6" spans="1:13" ht="57.6">
      <c r="A6" s="1">
        <v>5</v>
      </c>
      <c r="B6" s="2">
        <v>5</v>
      </c>
      <c r="C6" s="2" t="s">
        <v>204</v>
      </c>
      <c r="D6" s="2">
        <v>118979</v>
      </c>
      <c r="E6" s="2">
        <v>1884.3679999999999</v>
      </c>
      <c r="F6" s="2">
        <v>49.38</v>
      </c>
      <c r="G6" s="18">
        <v>46149.092395833337</v>
      </c>
      <c r="H6" s="2">
        <v>53.267000000000003</v>
      </c>
      <c r="I6" s="2"/>
      <c r="J6" s="2">
        <v>3000</v>
      </c>
      <c r="K6" s="2">
        <f>Table7[[#This Row],[average_nav]]*Table7[[#This Row],[units]]</f>
        <v>93050.091840000008</v>
      </c>
      <c r="L6" s="2">
        <f>Table7[[#This Row],[latest_nav]]*Table7[[#This Row],[units]]</f>
        <v>100374.630256</v>
      </c>
    </row>
    <row r="7" spans="1:13" ht="43.2">
      <c r="A7" s="1">
        <v>6</v>
      </c>
      <c r="B7" s="2">
        <v>6</v>
      </c>
      <c r="C7" s="2" t="s">
        <v>205</v>
      </c>
      <c r="D7" s="2">
        <v>125307</v>
      </c>
      <c r="E7" s="2">
        <v>1155.152</v>
      </c>
      <c r="F7" s="2">
        <v>67.52</v>
      </c>
      <c r="G7" s="18">
        <v>46149.092395833337</v>
      </c>
      <c r="H7" s="2">
        <v>75.209999999999994</v>
      </c>
      <c r="I7" s="2"/>
      <c r="J7" s="2">
        <v>3000</v>
      </c>
      <c r="K7" s="2">
        <f>Table7[[#This Row],[average_nav]]*Table7[[#This Row],[units]]</f>
        <v>77995.863039999997</v>
      </c>
      <c r="L7" s="2">
        <f>Table7[[#This Row],[latest_nav]]*Table7[[#This Row],[units]]</f>
        <v>86878.981919999991</v>
      </c>
    </row>
    <row r="8" spans="1:13" ht="72">
      <c r="A8" s="1">
        <v>7</v>
      </c>
      <c r="B8" s="2">
        <v>7</v>
      </c>
      <c r="C8" s="2" t="s">
        <v>206</v>
      </c>
      <c r="D8" s="2">
        <v>149219</v>
      </c>
      <c r="E8" s="2">
        <v>3755.5439999999999</v>
      </c>
      <c r="F8" s="2">
        <v>15.71</v>
      </c>
      <c r="G8" s="18">
        <v>46149.092395833337</v>
      </c>
      <c r="H8" s="2">
        <v>24.0243</v>
      </c>
      <c r="I8" s="2"/>
      <c r="J8" s="2">
        <v>3000</v>
      </c>
      <c r="K8" s="2">
        <f>Table7[[#This Row],[average_nav]]*Table7[[#This Row],[units]]</f>
        <v>58999.596239999999</v>
      </c>
      <c r="L8" s="2">
        <f>Table7[[#This Row],[latest_nav]]*Table7[[#This Row],[units]]</f>
        <v>90224.315719199993</v>
      </c>
    </row>
    <row r="9" spans="1:13" ht="57.6">
      <c r="A9" s="1">
        <v>8</v>
      </c>
      <c r="B9" s="2">
        <v>8</v>
      </c>
      <c r="C9" s="2" t="s">
        <v>207</v>
      </c>
      <c r="D9" s="2">
        <v>118482</v>
      </c>
      <c r="E9" s="2">
        <v>1503.3320000000001</v>
      </c>
      <c r="F9" s="2">
        <v>51.22</v>
      </c>
      <c r="G9" s="18">
        <v>46149.092395833337</v>
      </c>
      <c r="H9" s="2">
        <v>53.772599999999997</v>
      </c>
      <c r="I9" s="2"/>
      <c r="J9" s="2">
        <v>3000</v>
      </c>
      <c r="K9" s="2">
        <f>Table7[[#This Row],[average_nav]]*Table7[[#This Row],[units]]</f>
        <v>77000.665040000007</v>
      </c>
      <c r="L9" s="2">
        <f>Table7[[#This Row],[latest_nav]]*Table7[[#This Row],[units]]</f>
        <v>80838.070303200002</v>
      </c>
    </row>
    <row r="10" spans="1:13" ht="72">
      <c r="A10" s="1">
        <v>9</v>
      </c>
      <c r="B10" s="2">
        <v>9</v>
      </c>
      <c r="C10" s="2" t="s">
        <v>208</v>
      </c>
      <c r="D10" s="2">
        <v>147662</v>
      </c>
      <c r="E10" s="2">
        <v>1849.308</v>
      </c>
      <c r="F10" s="2">
        <v>42.18</v>
      </c>
      <c r="G10" s="18">
        <v>46149.092395833337</v>
      </c>
      <c r="H10" s="2">
        <v>52.39</v>
      </c>
      <c r="I10" s="2"/>
      <c r="J10" s="2">
        <v>3000</v>
      </c>
      <c r="K10" s="2">
        <f>Table7[[#This Row],[average_nav]]*Table7[[#This Row],[units]]</f>
        <v>78003.811440000005</v>
      </c>
      <c r="L10" s="2">
        <f>Table7[[#This Row],[latest_nav]]*Table7[[#This Row],[units]]</f>
        <v>96885.246119999996</v>
      </c>
    </row>
    <row r="11" spans="1:13">
      <c r="A11" s="1">
        <v>10</v>
      </c>
      <c r="B11" s="2">
        <v>10</v>
      </c>
      <c r="C11" s="2" t="s">
        <v>234</v>
      </c>
      <c r="D11" s="2"/>
      <c r="E11" s="2">
        <v>1</v>
      </c>
      <c r="F11" s="2">
        <v>203305.1</v>
      </c>
      <c r="G11" s="2"/>
      <c r="H11" s="2">
        <v>206981.26</v>
      </c>
      <c r="I11" s="2"/>
      <c r="J11" s="2">
        <v>10460</v>
      </c>
      <c r="K11" s="2">
        <f>Table7[[#This Row],[average_nav]]*Table7[[#This Row],[units]]</f>
        <v>203305.1</v>
      </c>
      <c r="L11" s="2">
        <f>Table7[[#This Row],[latest_nav]]*Table7[[#This Row],[units]]</f>
        <v>206981.26</v>
      </c>
    </row>
    <row r="13" spans="1:13">
      <c r="J13">
        <f>K13-K11</f>
        <v>694034.19194999989</v>
      </c>
      <c r="K13">
        <f>SUM(Table7[Invested])</f>
        <v>897339.29194999987</v>
      </c>
      <c r="L13">
        <f>SUM(Table7[Current])</f>
        <v>1006237.7117467999</v>
      </c>
      <c r="M13">
        <f>L13-L11</f>
        <v>799256.45174679987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>
      <selection activeCell="B12" sqref="B12"/>
    </sheetView>
  </sheetViews>
  <sheetFormatPr defaultRowHeight="14.4"/>
  <cols>
    <col min="3" max="3" width="9.77734375" customWidth="1"/>
  </cols>
  <sheetData>
    <row r="1" spans="1:3">
      <c r="A1" s="3" t="s">
        <v>219</v>
      </c>
      <c r="B1" s="3" t="s">
        <v>220</v>
      </c>
      <c r="C1" s="3" t="s">
        <v>161</v>
      </c>
    </row>
    <row r="2" spans="1:3">
      <c r="A2" s="3">
        <v>1</v>
      </c>
      <c r="B2" s="3" t="s">
        <v>221</v>
      </c>
      <c r="C2" s="3">
        <v>1300</v>
      </c>
    </row>
    <row r="3" spans="1:3">
      <c r="A3" s="3">
        <v>2</v>
      </c>
      <c r="B3" s="3" t="s">
        <v>222</v>
      </c>
      <c r="C3" s="3">
        <v>5000</v>
      </c>
    </row>
    <row r="4" spans="1:3">
      <c r="A4" s="3">
        <v>3</v>
      </c>
      <c r="B4" s="3" t="s">
        <v>223</v>
      </c>
      <c r="C4" s="3">
        <v>1000</v>
      </c>
    </row>
    <row r="5" spans="1:3">
      <c r="A5" s="3">
        <v>4</v>
      </c>
      <c r="B5" s="3" t="s">
        <v>224</v>
      </c>
      <c r="C5" s="3">
        <v>750</v>
      </c>
    </row>
    <row r="6" spans="1:3">
      <c r="A6" s="3">
        <v>5</v>
      </c>
      <c r="B6" s="3" t="s">
        <v>225</v>
      </c>
      <c r="C6" s="3">
        <v>2000</v>
      </c>
    </row>
    <row r="7" spans="1:3">
      <c r="A7" s="3">
        <v>6</v>
      </c>
      <c r="B7" s="3" t="s">
        <v>226</v>
      </c>
      <c r="C7" s="3">
        <v>855</v>
      </c>
    </row>
    <row r="8" spans="1:3">
      <c r="A8" s="3">
        <v>7</v>
      </c>
      <c r="B8" s="3" t="s">
        <v>227</v>
      </c>
      <c r="C8" s="3">
        <v>1000</v>
      </c>
    </row>
    <row r="9" spans="1:3">
      <c r="A9" s="3">
        <v>8</v>
      </c>
      <c r="B9" s="3" t="s">
        <v>228</v>
      </c>
      <c r="C9" s="3">
        <v>750</v>
      </c>
    </row>
    <row r="10" spans="1:3">
      <c r="A10" s="3">
        <v>9</v>
      </c>
      <c r="B10" s="3" t="s">
        <v>229</v>
      </c>
      <c r="C10" s="3">
        <v>200</v>
      </c>
    </row>
    <row r="11" spans="1:3">
      <c r="A11" s="3">
        <v>10</v>
      </c>
      <c r="B11" s="3" t="s">
        <v>230</v>
      </c>
      <c r="C11" s="3">
        <v>1000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"/>
  <sheetViews>
    <sheetView workbookViewId="0">
      <selection activeCell="C22" sqref="C22"/>
    </sheetView>
  </sheetViews>
  <sheetFormatPr defaultRowHeight="14.4"/>
  <cols>
    <col min="2" max="2" width="10.6640625" customWidth="1"/>
    <col min="3" max="3" width="9.77734375" customWidth="1"/>
    <col min="4" max="4" width="13.5546875" customWidth="1"/>
  </cols>
  <sheetData>
    <row r="1" spans="1:6">
      <c r="A1" t="s">
        <v>42</v>
      </c>
      <c r="B1" t="s">
        <v>162</v>
      </c>
      <c r="C1" t="s">
        <v>161</v>
      </c>
      <c r="D1" t="s">
        <v>45</v>
      </c>
    </row>
    <row r="2" spans="1:6">
      <c r="A2" s="1">
        <v>1</v>
      </c>
      <c r="B2" t="s">
        <v>163</v>
      </c>
      <c r="C2" s="1">
        <v>1000000</v>
      </c>
      <c r="D2" s="1">
        <v>15</v>
      </c>
    </row>
    <row r="3" spans="1:6">
      <c r="A3" s="1">
        <v>2</v>
      </c>
      <c r="B3" t="s">
        <v>164</v>
      </c>
      <c r="C3" s="1">
        <v>1040000</v>
      </c>
      <c r="D3" s="1">
        <v>15</v>
      </c>
    </row>
    <row r="4" spans="1:6">
      <c r="A4" s="1">
        <v>3</v>
      </c>
      <c r="B4" t="s">
        <v>165</v>
      </c>
      <c r="C4" s="1">
        <v>400000</v>
      </c>
      <c r="D4" s="1">
        <v>15</v>
      </c>
    </row>
    <row r="5" spans="1:6">
      <c r="A5" s="1">
        <v>4</v>
      </c>
      <c r="B5" t="s">
        <v>166</v>
      </c>
      <c r="C5" s="1">
        <v>84085</v>
      </c>
      <c r="D5" s="1">
        <v>0</v>
      </c>
    </row>
    <row r="6" spans="1:6">
      <c r="A6" s="1">
        <v>5</v>
      </c>
      <c r="B6" t="s">
        <v>167</v>
      </c>
      <c r="C6" s="3">
        <v>-322647.55</v>
      </c>
      <c r="D6" s="1">
        <v>8.35</v>
      </c>
    </row>
    <row r="7" spans="1:6">
      <c r="A7" s="1">
        <v>6</v>
      </c>
      <c r="B7" t="s">
        <v>168</v>
      </c>
      <c r="C7" s="1">
        <v>258404</v>
      </c>
      <c r="D7" s="1">
        <v>0</v>
      </c>
    </row>
    <row r="8" spans="1:6">
      <c r="A8" s="1">
        <v>7</v>
      </c>
      <c r="B8" t="s">
        <v>169</v>
      </c>
      <c r="C8" s="1">
        <v>904502</v>
      </c>
      <c r="D8" s="1">
        <v>8.25</v>
      </c>
      <c r="F8" s="17"/>
    </row>
    <row r="9" spans="1:6">
      <c r="A9" s="1"/>
      <c r="C9" s="1">
        <f>SUM(Table9[Amount])</f>
        <v>3364343.45</v>
      </c>
      <c r="D9" s="1"/>
    </row>
    <row r="20" spans="3:3">
      <c r="C20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8"/>
  <sheetViews>
    <sheetView topLeftCell="C1" workbookViewId="0">
      <selection activeCell="E8" sqref="E8"/>
    </sheetView>
  </sheetViews>
  <sheetFormatPr defaultRowHeight="14.4"/>
  <cols>
    <col min="5" max="5" width="9.77734375" customWidth="1"/>
  </cols>
  <sheetData>
    <row r="1" spans="1:12">
      <c r="A1" t="s">
        <v>42</v>
      </c>
      <c r="B1" t="s">
        <v>170</v>
      </c>
      <c r="C1" s="3" t="s">
        <v>42</v>
      </c>
      <c r="D1" s="15" t="s">
        <v>170</v>
      </c>
      <c r="E1" s="15" t="s">
        <v>161</v>
      </c>
      <c r="F1" s="15" t="s">
        <v>171</v>
      </c>
      <c r="G1" s="15" t="s">
        <v>113</v>
      </c>
    </row>
    <row r="2" spans="1:12">
      <c r="A2" s="1">
        <v>1</v>
      </c>
      <c r="B2" t="s">
        <v>27</v>
      </c>
      <c r="C2" s="3">
        <v>1</v>
      </c>
      <c r="D2" s="3" t="s">
        <v>217</v>
      </c>
      <c r="E2" s="3">
        <v>185798</v>
      </c>
      <c r="F2" s="3" t="s">
        <v>172</v>
      </c>
      <c r="G2" s="15" t="s">
        <v>114</v>
      </c>
    </row>
    <row r="3" spans="1:12">
      <c r="A3" s="1">
        <v>2</v>
      </c>
      <c r="B3" t="s">
        <v>27</v>
      </c>
      <c r="C3" s="3">
        <v>2</v>
      </c>
      <c r="D3" s="3" t="s">
        <v>218</v>
      </c>
      <c r="E3" s="3">
        <v>10000</v>
      </c>
      <c r="F3" s="3" t="s">
        <v>173</v>
      </c>
      <c r="G3" s="3" t="s">
        <v>174</v>
      </c>
    </row>
    <row r="4" spans="1:12">
      <c r="A4" s="1">
        <v>3</v>
      </c>
      <c r="B4" t="s">
        <v>27</v>
      </c>
      <c r="C4" s="3">
        <v>3</v>
      </c>
      <c r="D4" s="3" t="s">
        <v>218</v>
      </c>
      <c r="E4" s="3">
        <v>12500</v>
      </c>
      <c r="F4" s="3" t="s">
        <v>172</v>
      </c>
      <c r="G4" s="3" t="s">
        <v>175</v>
      </c>
      <c r="K4" s="3" t="s">
        <v>237</v>
      </c>
      <c r="L4" s="3">
        <f>SUM(E2:E8)</f>
        <v>268314</v>
      </c>
    </row>
    <row r="5" spans="1:12">
      <c r="A5" s="1">
        <v>4</v>
      </c>
      <c r="B5" t="s">
        <v>27</v>
      </c>
      <c r="C5" s="3">
        <v>4</v>
      </c>
      <c r="D5" s="3" t="s">
        <v>218</v>
      </c>
      <c r="E5" s="3">
        <v>13000</v>
      </c>
      <c r="F5" s="3" t="s">
        <v>173</v>
      </c>
      <c r="G5" s="3" t="s">
        <v>176</v>
      </c>
    </row>
    <row r="6" spans="1:12">
      <c r="A6" s="1">
        <v>5</v>
      </c>
      <c r="B6" t="s">
        <v>27</v>
      </c>
      <c r="C6" s="3">
        <v>5</v>
      </c>
      <c r="D6" s="3" t="s">
        <v>217</v>
      </c>
      <c r="E6" s="3">
        <v>45000</v>
      </c>
      <c r="F6" s="3" t="s">
        <v>172</v>
      </c>
      <c r="G6" s="3" t="s">
        <v>177</v>
      </c>
    </row>
    <row r="7" spans="1:12">
      <c r="A7" s="1">
        <v>6</v>
      </c>
      <c r="B7" t="s">
        <v>27</v>
      </c>
      <c r="C7" s="3">
        <v>6</v>
      </c>
      <c r="D7" s="3" t="s">
        <v>41</v>
      </c>
      <c r="E7" s="3">
        <v>2016</v>
      </c>
      <c r="F7" s="3" t="s">
        <v>173</v>
      </c>
      <c r="G7" s="3" t="s">
        <v>178</v>
      </c>
    </row>
    <row r="8" spans="1:12">
      <c r="A8" s="1"/>
      <c r="C8" s="3"/>
      <c r="D8" s="3"/>
      <c r="E8" s="3"/>
      <c r="F8" s="3"/>
      <c r="G8" s="3"/>
    </row>
    <row r="9" spans="1:12">
      <c r="C9" s="3"/>
      <c r="F9" s="3"/>
      <c r="G9" s="3"/>
    </row>
    <row r="18" spans="3:3">
      <c r="C18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activeCell="I11" sqref="I11"/>
    </sheetView>
  </sheetViews>
  <sheetFormatPr defaultRowHeight="14.4"/>
  <cols>
    <col min="1" max="1" width="15.33203125" customWidth="1"/>
    <col min="2" max="2" width="9.77734375" customWidth="1"/>
    <col min="4" max="4" width="10.6640625" customWidth="1"/>
  </cols>
  <sheetData>
    <row r="1" spans="1:4">
      <c r="A1" t="s">
        <v>179</v>
      </c>
      <c r="B1" t="s">
        <v>161</v>
      </c>
      <c r="C1" t="s">
        <v>171</v>
      </c>
      <c r="D1" t="s">
        <v>180</v>
      </c>
    </row>
    <row r="2" spans="1:4">
      <c r="A2" t="s">
        <v>181</v>
      </c>
      <c r="B2" s="1">
        <v>40000</v>
      </c>
      <c r="C2" t="s">
        <v>172</v>
      </c>
      <c r="D2" t="s">
        <v>163</v>
      </c>
    </row>
    <row r="3" spans="1:4">
      <c r="A3" t="s">
        <v>181</v>
      </c>
      <c r="B3" s="1">
        <v>13000</v>
      </c>
      <c r="C3" t="s">
        <v>173</v>
      </c>
      <c r="D3" t="s">
        <v>164</v>
      </c>
    </row>
    <row r="4" spans="1:4">
      <c r="A4" t="s">
        <v>182</v>
      </c>
      <c r="B4" s="1">
        <v>27000</v>
      </c>
      <c r="C4" t="s">
        <v>172</v>
      </c>
      <c r="D4" t="s">
        <v>183</v>
      </c>
    </row>
    <row r="5" spans="1:4">
      <c r="A5" t="s">
        <v>184</v>
      </c>
      <c r="B5" s="1">
        <v>30446</v>
      </c>
      <c r="C5" t="s">
        <v>172</v>
      </c>
      <c r="D5" t="s">
        <v>185</v>
      </c>
    </row>
    <row r="6" spans="1:4">
      <c r="A6" t="s">
        <v>182</v>
      </c>
      <c r="B6" s="1">
        <v>35000</v>
      </c>
      <c r="C6" t="s">
        <v>172</v>
      </c>
      <c r="D6" t="s">
        <v>186</v>
      </c>
    </row>
    <row r="7" spans="1:4">
      <c r="A7" t="s">
        <v>181</v>
      </c>
      <c r="B7" s="1">
        <v>28000</v>
      </c>
      <c r="C7" t="s">
        <v>172</v>
      </c>
      <c r="D7" t="s">
        <v>165</v>
      </c>
    </row>
    <row r="8" spans="1:4">
      <c r="B8" s="1">
        <f>SUM(Table6[Amount])</f>
        <v>173446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"/>
  <sheetViews>
    <sheetView workbookViewId="0">
      <selection activeCell="E21" sqref="E21"/>
    </sheetView>
  </sheetViews>
  <sheetFormatPr defaultRowHeight="14.4"/>
  <sheetData>
    <row r="1" spans="1:10">
      <c r="A1" s="3" t="s">
        <v>219</v>
      </c>
      <c r="B1" s="3" t="s">
        <v>238</v>
      </c>
      <c r="C1" s="3" t="s">
        <v>187</v>
      </c>
      <c r="D1" s="3" t="s">
        <v>239</v>
      </c>
      <c r="E1" s="3" t="s">
        <v>240</v>
      </c>
      <c r="F1" s="3" t="s">
        <v>241</v>
      </c>
      <c r="G1" s="3" t="s">
        <v>242</v>
      </c>
      <c r="H1" s="3" t="s">
        <v>243</v>
      </c>
      <c r="I1" s="3" t="s">
        <v>244</v>
      </c>
      <c r="J1" s="3"/>
    </row>
    <row r="2" spans="1:10">
      <c r="A2" s="3">
        <v>1</v>
      </c>
      <c r="B2" s="3" t="s">
        <v>163</v>
      </c>
      <c r="C2" s="3">
        <v>1200000</v>
      </c>
      <c r="D2" s="3">
        <v>25</v>
      </c>
      <c r="E2" s="3">
        <f ca="1">ROUND((J2-H2)*12/365,0)+1</f>
        <v>4</v>
      </c>
      <c r="F2" s="3">
        <v>40000</v>
      </c>
      <c r="G2" s="6">
        <v>46799</v>
      </c>
      <c r="H2" s="4">
        <v>46039</v>
      </c>
      <c r="I2" s="3">
        <f ca="1">E2/D2*C2</f>
        <v>192000</v>
      </c>
      <c r="J2" s="7" t="str">
        <f ca="1" xml:space="preserve"> TEXT(TODAY(), "MMM-yy")</f>
        <v>May-26</v>
      </c>
    </row>
    <row r="3" spans="1:10">
      <c r="A3" s="3">
        <v>2</v>
      </c>
      <c r="B3" s="3" t="s">
        <v>164</v>
      </c>
      <c r="C3" s="3">
        <v>500000</v>
      </c>
      <c r="D3" s="3">
        <v>32</v>
      </c>
      <c r="E3" s="3">
        <f ca="1">ROUND((J3-H3)*12/365,0)+1</f>
        <v>36</v>
      </c>
      <c r="F3" s="3">
        <v>13000</v>
      </c>
      <c r="G3" s="6">
        <v>46054</v>
      </c>
      <c r="H3" s="6">
        <v>45078</v>
      </c>
      <c r="I3" s="3">
        <f ca="1">E3/D3*C3</f>
        <v>562500</v>
      </c>
      <c r="J3" s="7" t="str">
        <f ca="1" xml:space="preserve"> TEXT(TODAY(), "MMM-yy")</f>
        <v>May-26</v>
      </c>
    </row>
    <row r="4" spans="1:10">
      <c r="A4" s="3"/>
      <c r="B4" s="3"/>
      <c r="C4" s="3"/>
      <c r="D4" s="3"/>
      <c r="E4" s="3"/>
      <c r="F4" s="3"/>
      <c r="G4" s="3"/>
      <c r="H4" s="3" t="s">
        <v>245</v>
      </c>
      <c r="I4" s="3">
        <f ca="1">I2+I3</f>
        <v>754500</v>
      </c>
      <c r="J4" s="3"/>
    </row>
    <row r="5" spans="1:10">
      <c r="A5" s="3"/>
      <c r="B5" s="3"/>
      <c r="C5" s="3"/>
      <c r="D5" s="3"/>
      <c r="E5" s="3">
        <f ca="1">(J2-H2)*12/365</f>
        <v>3.419178082191781</v>
      </c>
      <c r="F5" s="3"/>
      <c r="G5" s="3"/>
      <c r="H5" s="3"/>
      <c r="I5" s="3"/>
      <c r="J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workbookViewId="0">
      <selection activeCell="F11" sqref="F11"/>
    </sheetView>
  </sheetViews>
  <sheetFormatPr defaultRowHeight="14.4"/>
  <cols>
    <col min="1" max="2" width="8.88671875" style="8"/>
    <col min="3" max="3" width="22.88671875" style="8" customWidth="1"/>
    <col min="4" max="5" width="8.88671875" style="8"/>
    <col min="6" max="6" width="12.88671875" style="8" customWidth="1"/>
    <col min="7" max="7" width="21.88671875" style="8" customWidth="1"/>
    <col min="8" max="16384" width="8.88671875" style="8"/>
  </cols>
  <sheetData>
    <row r="1" spans="1:8">
      <c r="A1" s="8" t="s">
        <v>188</v>
      </c>
      <c r="B1" s="8" t="s">
        <v>187</v>
      </c>
      <c r="C1" s="8" t="s">
        <v>189</v>
      </c>
      <c r="D1" s="8" t="s">
        <v>242</v>
      </c>
      <c r="E1" s="8" t="s">
        <v>246</v>
      </c>
      <c r="F1" s="8" t="s">
        <v>247</v>
      </c>
      <c r="G1" s="8" t="s">
        <v>248</v>
      </c>
      <c r="H1" s="8" t="s">
        <v>249</v>
      </c>
    </row>
    <row r="2" spans="1:8">
      <c r="A2" s="8" t="s">
        <v>174</v>
      </c>
      <c r="B2" s="8">
        <v>758000</v>
      </c>
      <c r="C2" s="8">
        <v>25</v>
      </c>
      <c r="D2" s="11">
        <v>46296</v>
      </c>
      <c r="E2" s="8">
        <f>SUM(B6:B30)</f>
        <v>187440</v>
      </c>
      <c r="F2" s="9">
        <v>45207</v>
      </c>
      <c r="G2" s="8">
        <f>B2/C2*H2</f>
        <v>212240</v>
      </c>
      <c r="H2" s="8">
        <v>7</v>
      </c>
    </row>
    <row r="5" spans="1:8">
      <c r="A5" s="8" t="s">
        <v>231</v>
      </c>
      <c r="B5" s="8" t="s">
        <v>232</v>
      </c>
      <c r="C5" s="8" t="s">
        <v>233</v>
      </c>
    </row>
    <row r="6" spans="1:8">
      <c r="A6" s="8">
        <v>1</v>
      </c>
      <c r="B6" s="8">
        <v>29280</v>
      </c>
      <c r="C6" s="9">
        <v>45968</v>
      </c>
      <c r="F6" s="8">
        <v>25280</v>
      </c>
      <c r="G6" s="9">
        <v>45207</v>
      </c>
    </row>
    <row r="7" spans="1:8">
      <c r="A7" s="8">
        <v>2</v>
      </c>
      <c r="B7" s="12">
        <v>24960</v>
      </c>
      <c r="C7" s="9">
        <v>45996</v>
      </c>
      <c r="F7" s="8">
        <v>25000</v>
      </c>
      <c r="G7" s="9">
        <v>45238</v>
      </c>
    </row>
    <row r="8" spans="1:8">
      <c r="A8" s="8">
        <v>3</v>
      </c>
      <c r="B8" s="8">
        <v>24960</v>
      </c>
      <c r="C8" s="9">
        <v>46028</v>
      </c>
      <c r="F8" s="8">
        <v>24960</v>
      </c>
      <c r="G8" s="9">
        <v>45268</v>
      </c>
    </row>
    <row r="9" spans="1:8">
      <c r="A9" s="8">
        <v>4</v>
      </c>
      <c r="B9" s="8">
        <v>31680</v>
      </c>
      <c r="C9" s="9">
        <v>46057</v>
      </c>
      <c r="F9" s="8">
        <v>31680</v>
      </c>
      <c r="G9" s="9">
        <v>45299</v>
      </c>
    </row>
    <row r="10" spans="1:8">
      <c r="A10" s="8">
        <v>5</v>
      </c>
      <c r="B10" s="8">
        <v>24960</v>
      </c>
      <c r="C10" s="9">
        <v>46087</v>
      </c>
      <c r="F10" s="8">
        <v>24960</v>
      </c>
      <c r="G10" s="9">
        <v>45330</v>
      </c>
    </row>
    <row r="11" spans="1:8">
      <c r="A11" s="8">
        <v>6</v>
      </c>
      <c r="B11" s="8">
        <v>25400</v>
      </c>
      <c r="C11" s="9">
        <v>46119</v>
      </c>
      <c r="F11" s="8">
        <v>24860</v>
      </c>
      <c r="G11" s="9">
        <v>45359</v>
      </c>
    </row>
    <row r="12" spans="1:8">
      <c r="A12" s="8">
        <v>7</v>
      </c>
      <c r="B12" s="8">
        <v>26200</v>
      </c>
      <c r="C12" s="9">
        <v>46150</v>
      </c>
      <c r="F12" s="8">
        <v>25440</v>
      </c>
      <c r="G12" s="9">
        <v>45390</v>
      </c>
    </row>
    <row r="13" spans="1:8">
      <c r="A13" s="8">
        <v>8</v>
      </c>
      <c r="F13" s="8">
        <v>25960</v>
      </c>
      <c r="G13" s="9">
        <v>45420</v>
      </c>
    </row>
    <row r="14" spans="1:8">
      <c r="A14" s="8">
        <v>9</v>
      </c>
      <c r="F14" s="8">
        <v>26560</v>
      </c>
      <c r="G14" s="9">
        <v>45451</v>
      </c>
    </row>
    <row r="15" spans="1:8">
      <c r="A15" s="8">
        <v>10</v>
      </c>
      <c r="F15" s="8">
        <v>27360</v>
      </c>
      <c r="G15" s="9">
        <v>45481</v>
      </c>
    </row>
    <row r="16" spans="1:8">
      <c r="A16" s="8">
        <v>11</v>
      </c>
      <c r="F16" s="8">
        <v>27760</v>
      </c>
      <c r="G16" s="9">
        <v>45512</v>
      </c>
    </row>
    <row r="17" spans="1:9">
      <c r="A17" s="8">
        <v>12</v>
      </c>
      <c r="F17" s="8">
        <v>28360</v>
      </c>
      <c r="G17" s="9">
        <v>45543</v>
      </c>
    </row>
    <row r="18" spans="1:9">
      <c r="A18" s="8">
        <v>13</v>
      </c>
      <c r="F18" s="8">
        <v>28960</v>
      </c>
      <c r="G18" s="9">
        <v>45573</v>
      </c>
    </row>
    <row r="19" spans="1:9">
      <c r="A19" s="8">
        <v>14</v>
      </c>
      <c r="F19" s="8">
        <v>29140</v>
      </c>
      <c r="G19" s="9">
        <v>45604</v>
      </c>
    </row>
    <row r="20" spans="1:9">
      <c r="A20" s="8">
        <v>15</v>
      </c>
      <c r="F20" s="10">
        <v>29760</v>
      </c>
      <c r="G20" s="9">
        <v>45634</v>
      </c>
    </row>
    <row r="21" spans="1:9">
      <c r="A21" s="8">
        <v>16</v>
      </c>
      <c r="F21" s="10">
        <v>29760</v>
      </c>
      <c r="G21" s="9">
        <v>45665</v>
      </c>
    </row>
    <row r="22" spans="1:9">
      <c r="A22" s="8">
        <v>17</v>
      </c>
      <c r="F22" s="8">
        <v>30120</v>
      </c>
      <c r="G22" s="9">
        <v>45696</v>
      </c>
    </row>
    <row r="23" spans="1:9">
      <c r="A23" s="8">
        <v>18</v>
      </c>
      <c r="F23" s="8">
        <v>30560</v>
      </c>
      <c r="G23" s="9">
        <v>45724</v>
      </c>
    </row>
    <row r="24" spans="1:9">
      <c r="A24" s="8">
        <v>19</v>
      </c>
      <c r="F24" s="8">
        <v>30960</v>
      </c>
      <c r="G24" s="9">
        <v>45755</v>
      </c>
    </row>
    <row r="25" spans="1:9">
      <c r="A25" s="8">
        <v>20</v>
      </c>
      <c r="F25" s="8">
        <v>31280</v>
      </c>
      <c r="G25" s="9">
        <v>45785</v>
      </c>
    </row>
    <row r="26" spans="1:9">
      <c r="A26" s="8">
        <v>21</v>
      </c>
      <c r="F26" s="8">
        <v>31320</v>
      </c>
      <c r="G26" s="9">
        <v>45816</v>
      </c>
    </row>
    <row r="27" spans="1:9">
      <c r="A27" s="8">
        <v>22</v>
      </c>
      <c r="F27" s="8">
        <v>31480</v>
      </c>
      <c r="G27" s="9">
        <v>45846</v>
      </c>
    </row>
    <row r="28" spans="1:9">
      <c r="A28" s="8">
        <v>23</v>
      </c>
      <c r="F28" s="8">
        <v>31520</v>
      </c>
      <c r="G28" s="9">
        <v>45877</v>
      </c>
    </row>
    <row r="29" spans="1:9">
      <c r="A29" s="8">
        <v>24</v>
      </c>
      <c r="F29" s="8">
        <v>31600</v>
      </c>
      <c r="G29" s="9">
        <v>45908</v>
      </c>
    </row>
    <row r="30" spans="1:9">
      <c r="A30" s="8">
        <v>25</v>
      </c>
      <c r="F30" s="8">
        <v>31780</v>
      </c>
      <c r="G30" s="9">
        <v>45938</v>
      </c>
    </row>
    <row r="31" spans="1:9">
      <c r="F31" s="8">
        <f>SUM(F6:F30)</f>
        <v>716420</v>
      </c>
    </row>
    <row r="32" spans="1:9">
      <c r="A32" s="13"/>
      <c r="B32" s="13"/>
      <c r="C32" s="13"/>
      <c r="D32" s="13"/>
      <c r="E32" s="13"/>
      <c r="F32" s="13"/>
      <c r="G32" s="13"/>
      <c r="H32" s="13"/>
      <c r="I32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2"/>
  <sheetViews>
    <sheetView workbookViewId="0">
      <selection activeCell="G14" sqref="G14"/>
    </sheetView>
  </sheetViews>
  <sheetFormatPr defaultRowHeight="14.4"/>
  <cols>
    <col min="2" max="2" width="10.33203125" bestFit="1" customWidth="1"/>
  </cols>
  <sheetData>
    <row r="1" spans="1:4">
      <c r="A1" t="s">
        <v>42</v>
      </c>
      <c r="B1" t="s">
        <v>190</v>
      </c>
      <c r="C1" t="s">
        <v>161</v>
      </c>
      <c r="D1" t="s">
        <v>191</v>
      </c>
    </row>
    <row r="2" spans="1:4">
      <c r="A2" s="1">
        <v>1</v>
      </c>
      <c r="B2" s="4">
        <v>45539</v>
      </c>
      <c r="C2" s="1">
        <v>4368</v>
      </c>
      <c r="D2" s="1">
        <f>SUM(C2:C22)</f>
        <v>87361</v>
      </c>
    </row>
    <row r="3" spans="1:4">
      <c r="A3" s="1">
        <v>2</v>
      </c>
      <c r="B3" s="4">
        <v>45569</v>
      </c>
      <c r="C3" s="1">
        <v>4368</v>
      </c>
      <c r="D3" t="s">
        <v>27</v>
      </c>
    </row>
    <row r="4" spans="1:4">
      <c r="A4" s="1">
        <v>3</v>
      </c>
      <c r="B4" s="4">
        <v>45600</v>
      </c>
      <c r="C4" s="1">
        <v>4369</v>
      </c>
      <c r="D4" t="s">
        <v>27</v>
      </c>
    </row>
    <row r="5" spans="1:4">
      <c r="A5" s="1">
        <v>4</v>
      </c>
      <c r="B5" s="4">
        <v>45630</v>
      </c>
      <c r="C5" s="1">
        <v>4368</v>
      </c>
      <c r="D5" t="s">
        <v>27</v>
      </c>
    </row>
    <row r="6" spans="1:4">
      <c r="A6" s="1">
        <v>5</v>
      </c>
      <c r="B6" s="4">
        <v>45661</v>
      </c>
      <c r="C6" s="1">
        <v>4368</v>
      </c>
      <c r="D6" t="s">
        <v>27</v>
      </c>
    </row>
    <row r="7" spans="1:4">
      <c r="A7" s="1">
        <v>6</v>
      </c>
      <c r="B7" s="4">
        <v>45692</v>
      </c>
      <c r="C7" s="1">
        <v>4368</v>
      </c>
      <c r="D7" t="s">
        <v>27</v>
      </c>
    </row>
    <row r="8" spans="1:4">
      <c r="A8" s="1">
        <v>7</v>
      </c>
      <c r="B8" s="4">
        <v>45720</v>
      </c>
      <c r="C8" s="1">
        <v>4368</v>
      </c>
      <c r="D8" t="s">
        <v>27</v>
      </c>
    </row>
    <row r="9" spans="1:4">
      <c r="A9" s="1">
        <v>8</v>
      </c>
      <c r="B9" s="4">
        <v>45751</v>
      </c>
      <c r="C9" s="1">
        <v>4368</v>
      </c>
      <c r="D9" t="s">
        <v>27</v>
      </c>
    </row>
    <row r="10" spans="1:4">
      <c r="A10" s="1">
        <v>9</v>
      </c>
      <c r="B10" s="4">
        <v>45781</v>
      </c>
      <c r="C10" s="1">
        <v>4368</v>
      </c>
      <c r="D10" t="s">
        <v>27</v>
      </c>
    </row>
    <row r="11" spans="1:4">
      <c r="A11" s="1">
        <v>10</v>
      </c>
      <c r="B11" s="4">
        <v>45812</v>
      </c>
      <c r="C11" s="1">
        <v>4368</v>
      </c>
      <c r="D11" t="s">
        <v>27</v>
      </c>
    </row>
    <row r="12" spans="1:4">
      <c r="A12" s="1">
        <v>11</v>
      </c>
      <c r="B12" s="4">
        <v>45842</v>
      </c>
      <c r="C12" s="1">
        <v>4368</v>
      </c>
      <c r="D12" t="s">
        <v>27</v>
      </c>
    </row>
    <row r="13" spans="1:4">
      <c r="A13" s="1">
        <v>12</v>
      </c>
      <c r="B13" s="4">
        <v>45873</v>
      </c>
      <c r="C13" s="1">
        <v>4368</v>
      </c>
      <c r="D13" t="s">
        <v>27</v>
      </c>
    </row>
    <row r="14" spans="1:4">
      <c r="A14" s="1">
        <v>13</v>
      </c>
      <c r="B14" s="4">
        <v>45904</v>
      </c>
      <c r="C14" s="1">
        <v>4368</v>
      </c>
      <c r="D14" t="s">
        <v>27</v>
      </c>
    </row>
    <row r="15" spans="1:4">
      <c r="A15" s="1">
        <v>14</v>
      </c>
      <c r="B15" s="4">
        <v>45934</v>
      </c>
      <c r="C15" s="1">
        <v>4368</v>
      </c>
      <c r="D15" t="s">
        <v>27</v>
      </c>
    </row>
    <row r="16" spans="1:4">
      <c r="A16" s="1">
        <v>15</v>
      </c>
      <c r="B16" s="4">
        <v>45965</v>
      </c>
      <c r="C16" s="1">
        <v>4368</v>
      </c>
      <c r="D16" t="s">
        <v>27</v>
      </c>
    </row>
    <row r="17" spans="1:4">
      <c r="A17" s="1">
        <v>16</v>
      </c>
      <c r="B17" s="4">
        <v>45995</v>
      </c>
      <c r="C17" s="1">
        <v>4368</v>
      </c>
      <c r="D17" t="s">
        <v>27</v>
      </c>
    </row>
    <row r="18" spans="1:4">
      <c r="A18" s="1">
        <v>17</v>
      </c>
      <c r="B18" s="4">
        <v>46026</v>
      </c>
      <c r="C18" s="1">
        <v>4368</v>
      </c>
      <c r="D18" t="s">
        <v>27</v>
      </c>
    </row>
    <row r="19" spans="1:4">
      <c r="A19" s="1">
        <v>18</v>
      </c>
      <c r="B19" s="4">
        <v>46057</v>
      </c>
      <c r="C19" s="1">
        <v>3276</v>
      </c>
      <c r="D19" t="s">
        <v>27</v>
      </c>
    </row>
    <row r="20" spans="1:4">
      <c r="A20" s="1">
        <v>19</v>
      </c>
      <c r="B20" s="4">
        <v>46085</v>
      </c>
      <c r="C20" s="1">
        <v>3276</v>
      </c>
      <c r="D20" t="s">
        <v>27</v>
      </c>
    </row>
    <row r="21" spans="1:4">
      <c r="A21" s="1">
        <v>20</v>
      </c>
      <c r="B21" s="4">
        <v>46116</v>
      </c>
      <c r="C21" s="1">
        <v>3276</v>
      </c>
      <c r="D21" t="s">
        <v>27</v>
      </c>
    </row>
    <row r="22" spans="1:4">
      <c r="A22" s="1">
        <v>21</v>
      </c>
      <c r="B22" s="4">
        <v>46146</v>
      </c>
      <c r="C22" s="1">
        <v>3276</v>
      </c>
    </row>
  </sheetData>
  <phoneticPr fontId="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0"/>
  <sheetViews>
    <sheetView workbookViewId="0">
      <selection activeCell="B7" sqref="B7"/>
    </sheetView>
  </sheetViews>
  <sheetFormatPr defaultRowHeight="14.4"/>
  <cols>
    <col min="2" max="2" width="9.77734375" customWidth="1"/>
    <col min="8" max="8" width="11" bestFit="1" customWidth="1"/>
  </cols>
  <sheetData>
    <row r="1" spans="1:8">
      <c r="A1" t="s">
        <v>192</v>
      </c>
      <c r="B1" t="s">
        <v>161</v>
      </c>
      <c r="C1" t="s">
        <v>193</v>
      </c>
      <c r="D1" t="s">
        <v>194</v>
      </c>
    </row>
    <row r="2" spans="1:8">
      <c r="A2" t="s">
        <v>195</v>
      </c>
      <c r="B2" s="1">
        <f ca="1">'Fixed Deposit'!H39</f>
        <v>4713240.9151232885</v>
      </c>
      <c r="C2" t="s">
        <v>27</v>
      </c>
      <c r="D2" t="s">
        <v>27</v>
      </c>
    </row>
    <row r="3" spans="1:8">
      <c r="A3" t="s">
        <v>196</v>
      </c>
      <c r="B3" s="1">
        <f>Table3[[#Totals],[balance]]</f>
        <v>160592.95999999999</v>
      </c>
      <c r="C3" t="s">
        <v>27</v>
      </c>
      <c r="D3" t="s">
        <v>27</v>
      </c>
    </row>
    <row r="4" spans="1:8">
      <c r="A4" t="s">
        <v>197</v>
      </c>
      <c r="B4" s="1">
        <f>'Mutal Funds'!L13</f>
        <v>1006237.7117467999</v>
      </c>
      <c r="C4" t="s">
        <v>27</v>
      </c>
      <c r="D4" t="s">
        <v>27</v>
      </c>
    </row>
    <row r="5" spans="1:8">
      <c r="A5" t="s">
        <v>186</v>
      </c>
      <c r="B5" s="1">
        <f>Stocks!J25</f>
        <v>752858.34342878871</v>
      </c>
      <c r="C5" t="s">
        <v>27</v>
      </c>
      <c r="D5" t="s">
        <v>27</v>
      </c>
    </row>
    <row r="6" spans="1:8">
      <c r="A6" t="s">
        <v>198</v>
      </c>
      <c r="B6" s="1">
        <f>Loans!C9</f>
        <v>3364343.45</v>
      </c>
      <c r="C6" t="s">
        <v>27</v>
      </c>
      <c r="D6" t="s">
        <v>27</v>
      </c>
    </row>
    <row r="7" spans="1:8">
      <c r="A7" t="s">
        <v>199</v>
      </c>
      <c r="B7" s="1">
        <f ca="1">Standard_Chits!I4+Variable_Chit!G2</f>
        <v>966740</v>
      </c>
      <c r="C7" t="s">
        <v>27</v>
      </c>
      <c r="D7" t="s">
        <v>27</v>
      </c>
    </row>
    <row r="8" spans="1:8">
      <c r="B8" s="1">
        <f ca="1">SUM(Table12[Amount])</f>
        <v>10964013.380298877</v>
      </c>
    </row>
    <row r="10" spans="1:8">
      <c r="H10">
        <f ca="1">B2+B3+B7+SUM(Loans!C2:C6)+2100000+8000000</f>
        <v>18142011.325123288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DFD8-FE41-42D5-9693-BF3323FEF578}">
  <dimension ref="A1:G31"/>
  <sheetViews>
    <sheetView workbookViewId="0">
      <selection activeCell="M12" sqref="M12"/>
    </sheetView>
  </sheetViews>
  <sheetFormatPr defaultRowHeight="14.4"/>
  <cols>
    <col min="1" max="1" width="8.88671875" style="3"/>
    <col min="2" max="2" width="10" style="3" bestFit="1" customWidth="1"/>
    <col min="3" max="16384" width="8.88671875" style="3"/>
  </cols>
  <sheetData>
    <row r="1" spans="1:5">
      <c r="A1" s="3" t="s">
        <v>250</v>
      </c>
    </row>
    <row r="2" spans="1:5">
      <c r="A2" s="3" t="s">
        <v>251</v>
      </c>
      <c r="B2" s="14">
        <v>2986000</v>
      </c>
    </row>
    <row r="3" spans="1:5">
      <c r="A3" s="3" t="s">
        <v>252</v>
      </c>
      <c r="B3" s="3">
        <v>500000</v>
      </c>
    </row>
    <row r="4" spans="1:5">
      <c r="A4" s="3" t="s">
        <v>253</v>
      </c>
      <c r="B4" s="3">
        <f>C4*90.2</f>
        <v>90200</v>
      </c>
      <c r="C4" s="3">
        <v>1000</v>
      </c>
    </row>
    <row r="5" spans="1:5">
      <c r="A5" s="3" t="s">
        <v>254</v>
      </c>
      <c r="B5" s="3">
        <v>107416</v>
      </c>
    </row>
    <row r="6" spans="1:5">
      <c r="A6" s="3" t="s">
        <v>256</v>
      </c>
      <c r="B6" s="3">
        <f>8.25*C6/100</f>
        <v>74621.414999999994</v>
      </c>
      <c r="C6" s="3">
        <f>Loans!C8</f>
        <v>904502</v>
      </c>
    </row>
    <row r="7" spans="1:5">
      <c r="A7" s="3" t="s">
        <v>257</v>
      </c>
      <c r="B7" s="3">
        <f>C7/5</f>
        <v>51680.800000000003</v>
      </c>
      <c r="C7" s="3">
        <f>Table9[[#This Row],[Amount]]</f>
        <v>258404</v>
      </c>
    </row>
    <row r="8" spans="1:5">
      <c r="E8" s="14">
        <f>SUM(B2:B7)</f>
        <v>3809918.2149999999</v>
      </c>
    </row>
    <row r="9" spans="1:5">
      <c r="A9" s="3" t="s">
        <v>258</v>
      </c>
    </row>
    <row r="10" spans="1:5">
      <c r="A10" s="3" t="s">
        <v>259</v>
      </c>
      <c r="B10" s="3">
        <f>C10*12</f>
        <v>150000</v>
      </c>
      <c r="C10" s="3">
        <v>12500</v>
      </c>
    </row>
    <row r="11" spans="1:5">
      <c r="A11" s="3" t="s">
        <v>260</v>
      </c>
      <c r="B11" s="3">
        <f>C11*6.8/100</f>
        <v>307920.864</v>
      </c>
      <c r="C11" s="3">
        <f>'Fixed Deposit'!C39</f>
        <v>4528248</v>
      </c>
    </row>
    <row r="12" spans="1:5">
      <c r="A12" s="3" t="s">
        <v>261</v>
      </c>
      <c r="B12" s="3">
        <f>C12*0.08</f>
        <v>80499.016939743989</v>
      </c>
      <c r="C12" s="3">
        <f>'Mutal Funds'!L13</f>
        <v>1006237.7117467999</v>
      </c>
    </row>
    <row r="13" spans="1:5">
      <c r="A13" s="3" t="s">
        <v>255</v>
      </c>
      <c r="B13" s="3">
        <f>C13*0.1</f>
        <v>75285.834342878879</v>
      </c>
      <c r="C13" s="3">
        <f>Stocks!J25</f>
        <v>752858.34342878871</v>
      </c>
    </row>
    <row r="14" spans="1:5">
      <c r="A14" s="3" t="s">
        <v>262</v>
      </c>
      <c r="B14" s="3">
        <f>C14/2</f>
        <v>125000</v>
      </c>
      <c r="C14" s="3">
        <f>250000</f>
        <v>250000</v>
      </c>
    </row>
    <row r="15" spans="1:5">
      <c r="A15" s="3" t="s">
        <v>263</v>
      </c>
      <c r="B15" s="3">
        <f>C15*11</f>
        <v>495000</v>
      </c>
      <c r="C15" s="3">
        <v>45000</v>
      </c>
    </row>
    <row r="16" spans="1:5">
      <c r="E16" s="3">
        <f>SUM(B10:B15)</f>
        <v>1233705.7152826227</v>
      </c>
    </row>
    <row r="17" spans="1:7">
      <c r="E17" s="14">
        <f>SUM(E8,E16)</f>
        <v>5043623.9302826226</v>
      </c>
      <c r="G17" s="3">
        <f>E17*0.7/12</f>
        <v>294211.39593315293</v>
      </c>
    </row>
    <row r="18" spans="1:7">
      <c r="A18" s="3" t="s">
        <v>264</v>
      </c>
    </row>
    <row r="19" spans="1:7">
      <c r="A19" s="3" t="s">
        <v>265</v>
      </c>
      <c r="B19" s="3">
        <f>C19*12</f>
        <v>24192</v>
      </c>
      <c r="C19" s="3">
        <v>2016</v>
      </c>
    </row>
    <row r="20" spans="1:7">
      <c r="A20" s="3" t="s">
        <v>266</v>
      </c>
      <c r="B20" s="3">
        <f>C20*12</f>
        <v>120000</v>
      </c>
      <c r="C20" s="3">
        <v>10000</v>
      </c>
    </row>
    <row r="21" spans="1:7">
      <c r="A21" s="3" t="s">
        <v>267</v>
      </c>
      <c r="B21" s="3">
        <f>12*C21</f>
        <v>156000</v>
      </c>
      <c r="C21" s="3">
        <v>13000</v>
      </c>
    </row>
    <row r="23" spans="1:7">
      <c r="A23" s="3" t="s">
        <v>268</v>
      </c>
    </row>
    <row r="24" spans="1:7">
      <c r="B24" s="3">
        <v>1600000</v>
      </c>
    </row>
    <row r="26" spans="1:7">
      <c r="A26" s="3" t="s">
        <v>269</v>
      </c>
      <c r="B26" s="3">
        <f>C26+[1]Loans!C6</f>
        <v>5908283.1399999997</v>
      </c>
      <c r="C26" s="3">
        <v>6500000</v>
      </c>
      <c r="E26" s="3">
        <f>B26*0.05</f>
        <v>295414.15700000001</v>
      </c>
    </row>
    <row r="31" spans="1:7">
      <c r="B31" s="14">
        <f>SUM(B1:B24)</f>
        <v>6943815.9302826235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7EB8F0-7FAB-45A8-B6A5-68C66F952D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Banks</vt:lpstr>
      <vt:lpstr>Users</vt:lpstr>
      <vt:lpstr>bank_accounts</vt:lpstr>
      <vt:lpstr>Fixed Deposit</vt:lpstr>
      <vt:lpstr>Stocks</vt:lpstr>
      <vt:lpstr>Mutal Funds</vt:lpstr>
      <vt:lpstr>Utility Bills</vt:lpstr>
      <vt:lpstr>Loans</vt:lpstr>
      <vt:lpstr>Earnings</vt:lpstr>
      <vt:lpstr>Spending</vt:lpstr>
      <vt:lpstr>Standard_Chits</vt:lpstr>
      <vt:lpstr>Variable_Chit</vt:lpstr>
      <vt:lpstr>sneha</vt:lpstr>
      <vt:lpstr>Overall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Dashboard Template</dc:title>
  <dc:creator>Codex</dc:creator>
  <cp:lastModifiedBy>Venkat Teja Vasa</cp:lastModifiedBy>
  <dcterms:created xsi:type="dcterms:W3CDTF">2026-04-04T00:56:20Z</dcterms:created>
  <dcterms:modified xsi:type="dcterms:W3CDTF">2026-05-10T18:59:15Z</dcterms:modified>
</cp:coreProperties>
</file>